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25747d12a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íntese" sheetId="1" r:id="Radb9c6f6ab8c4881"/>
    <x:sheet xmlns:r="http://schemas.openxmlformats.org/officeDocument/2006/relationships" name="Mensal" sheetId="2" r:id="Rc11fe54b6cf54b05"/>
    <x:sheet xmlns:r="http://schemas.openxmlformats.org/officeDocument/2006/relationships" name="Trimestral" sheetId="3" r:id="R8e1b1e063e0242d1"/>
    <x:sheet xmlns:r="http://schemas.openxmlformats.org/officeDocument/2006/relationships" name="Semestral" sheetId="4" r:id="R1041b81c5cb74d48"/>
    <x:sheet xmlns:r="http://schemas.openxmlformats.org/officeDocument/2006/relationships" name="Anual" sheetId="5" r:id="R79707f5a1a9f46f9"/>
    <x:sheet xmlns:r="http://schemas.openxmlformats.org/officeDocument/2006/relationships" name="Previsão 2026" sheetId="6" r:id="Rf36387f6b96e4412"/>
    <x:sheet xmlns:r="http://schemas.openxmlformats.org/officeDocument/2006/relationships" name="21 Grupos Exp" sheetId="7" r:id="Ra6daf9a4e6e54a2b"/>
    <x:sheet xmlns:r="http://schemas.openxmlformats.org/officeDocument/2006/relationships" name="21 Grupos Imp" sheetId="8" r:id="Ra45edd41ffc146f7"/>
    <x:sheet xmlns:r="http://schemas.openxmlformats.org/officeDocument/2006/relationships" name="Auditoria" sheetId="9" r:id="R0eed27f51d744327"/>
    <x:sheet xmlns:r="http://schemas.openxmlformats.org/officeDocument/2006/relationships" name="Metodologia" sheetId="10" r:id="R2b6bbc096b1d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"/>
    <x:numFmt numFmtId="202" formatCode="0.00%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4736B"/>
      <x:name val="Carlito"/>
    </x:font>
    <x:font>
      <x:b/>
      <x:sz val="11"/>
      <x:color rgb="FFFFFFFF"/>
      <x:name val="Carlito"/>
    </x:font>
    <x:font>
      <x:b/>
      <x:sz val="11"/>
      <x:color rgb="FF075D3B"/>
      <x:name val="Carlito"/>
    </x:font>
    <x:font>
      <x:b/>
      <x:sz val="11"/>
      <x:color rgb="FF073C2B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1"/>
      <x:color rgb="FF64736B"/>
      <x:name val="Aptos"/>
    </x:font>
    <x:font>
      <x:b/>
      <x:sz val="11"/>
      <x:color rgb="FFFFFFFF"/>
      <x:name val="Aptos"/>
    </x:font>
    <x:font>
      <x:b/>
      <x:sz val="11"/>
      <x:color rgb="FF075D3B"/>
      <x:name val="Aptos"/>
    </x:font>
    <x:font>
      <x:b/>
      <x:sz val="11"/>
      <x:color rgb="FF073C2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73C2B"/>
      </x:patternFill>
    </x:fill>
    <x:fill>
      <x:patternFill patternType="solid">
        <x:fgColor rgb="FFF4F1E8"/>
      </x:patternFill>
    </x:fill>
    <x:fill>
      <x:patternFill patternType="solid">
        <x:fgColor rgb="FF075D3B"/>
      </x:patternFill>
    </x:fill>
    <x:fill>
      <x:patternFill patternType="solid">
        <x:fgColor rgb="FFEFB321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vertical="center" wrapText="1"/>
    </x:xf>
    <x:xf numFmtId="0" fontId="9" fillId="4" borderId="3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200" fontId="7" fillId="0" borderId="0" xfId="0" applyNumberFormat="1" applyFont="1" applyFill="1" applyBorder="1"/>
    <x:xf numFmtId="0" fontId="11" fillId="5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0bc1a3ee94b37" /><Relationship Type="http://schemas.openxmlformats.org/officeDocument/2006/relationships/theme" Target="/xl/theme/theme1.xml" Id="Rc041f0c5f45b4b6a" /><Relationship Type="http://schemas.openxmlformats.org/officeDocument/2006/relationships/sharedStrings" Target="/xl/sharedStrings.xml" Id="R8054a57e08a34d84" /><Relationship Type="http://schemas.openxmlformats.org/officeDocument/2006/relationships/worksheet" Target="/xl/worksheets/sheet1.xml" Id="Radb9c6f6ab8c4881" /><Relationship Type="http://schemas.openxmlformats.org/officeDocument/2006/relationships/worksheet" Target="/xl/worksheets/sheet2.xml" Id="Rc11fe54b6cf54b05" /><Relationship Type="http://schemas.openxmlformats.org/officeDocument/2006/relationships/worksheet" Target="/xl/worksheets/sheet3.xml" Id="R8e1b1e063e0242d1" /><Relationship Type="http://schemas.openxmlformats.org/officeDocument/2006/relationships/worksheet" Target="/xl/worksheets/sheet4.xml" Id="R1041b81c5cb74d48" /><Relationship Type="http://schemas.openxmlformats.org/officeDocument/2006/relationships/worksheet" Target="/xl/worksheets/sheet5.xml" Id="R79707f5a1a9f46f9" /><Relationship Type="http://schemas.openxmlformats.org/officeDocument/2006/relationships/worksheet" Target="/xl/worksheets/sheet6.xml" Id="Rf36387f6b96e4412" /><Relationship Type="http://schemas.openxmlformats.org/officeDocument/2006/relationships/worksheet" Target="/xl/worksheets/sheet7.xml" Id="Ra6daf9a4e6e54a2b" /><Relationship Type="http://schemas.openxmlformats.org/officeDocument/2006/relationships/worksheet" Target="/xl/worksheets/sheet8.xml" Id="Ra45edd41ffc146f7" /><Relationship Type="http://schemas.openxmlformats.org/officeDocument/2006/relationships/worksheet" Target="/xl/worksheets/sheet9.xml" Id="R0eed27f51d744327" /><Relationship Type="http://schemas.openxmlformats.org/officeDocument/2006/relationships/worksheet" Target="/xl/worksheets/sheet10.xml" Id="R2b6bbc096b1d4534" /><Relationship Type="http://schemas.microsoft.com/office/2017/10/relationships/person" Target="/xl/persons/person.xml" Id="Rc6507aed96fd4e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fd48919f754e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dos três índices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Exportações</c:v>
          </c:tx>
          <c:marker>
            <c:symbol val="none"/>
          </c:marker>
          <c:cat>
            <c:strRef>
              <c:f>'Síntese'!$H$21:$H$24</c:f>
              <c:strCache>
                <c:ptCount val="0"/>
              </c:strCache>
            </c:strRef>
          </c:cat>
          <c:val>
            <c:numRef>
              <c:f>'Síntese'!$I$21:$I$24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Importações</c:v>
          </c:tx>
          <c:marker>
            <c:symbol val="none"/>
          </c:marker>
          <c:cat>
            <c:strRef>
              <c:f>'Síntese'!$H$21:$H$24</c:f>
              <c:strCache>
                <c:ptCount val="0"/>
              </c:strCache>
            </c:strRef>
          </c:cat>
          <c:val>
            <c:numRef>
              <c:f>'Síntese'!$J$21:$J$24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Global</c:v>
          </c:tx>
          <c:marker>
            <c:symbol val="none"/>
          </c:marker>
          <c:cat>
            <c:strRef>
              <c:f>'Síntese'!$H$21:$H$24</c:f>
              <c:strCache>
                <c:ptCount val="0"/>
              </c:strCache>
            </c:strRef>
          </c:cat>
          <c:val>
            <c:numRef>
              <c:f>'Síntese'!$K$21:$K$24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20"/>
          <c:min val="6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fd48919f754e8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érgio Ndimande" id="{97E5B258-2CBD-49EA-AC0B-AEB3069B88AB}"/>
</xltc:personList>
</file>

<file path=xl/tables/table1.xml><?xml version="1.0" encoding="utf-8"?>
<x:table xmlns:x="http://schemas.openxmlformats.org/spreadsheetml/2006/main" id="1" name="mensalTable" displayName="mensalTable" ref="A4:H49" headerRowCount="1" totalsRowCount="0" totalsRowShown="0">
  <x:tableColumns count="8">
    <x:tableColumn id="1" name="Período"/>
    <x:tableColumn id="2" name="Ano"/>
    <x:tableColumn id="3" name="N.º período"/>
    <x:tableColumn id="4" name="Exportações"/>
    <x:tableColumn id="5" name="Importações"/>
    <x:tableColumn id="6" name="Global"/>
    <x:tableColumn id="7" name="SH8 Exp."/>
    <x:tableColumn id="8" name="SH8 Imp.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imestralTable" displayName="trimestralTable" ref="A4:H19" headerRowCount="1" totalsRowCount="0" totalsRowShown="0">
  <x:tableColumns count="8">
    <x:tableColumn id="1" name="Período"/>
    <x:tableColumn id="2" name="Ano"/>
    <x:tableColumn id="3" name="N.º período"/>
    <x:tableColumn id="4" name="Exportações"/>
    <x:tableColumn id="5" name="Importações"/>
    <x:tableColumn id="6" name="Global"/>
    <x:tableColumn id="7" name="SH8 Exp."/>
    <x:tableColumn id="8" name="SH8 Imp.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mestralTable" displayName="semestralTable" ref="A4:H12" headerRowCount="1" totalsRowCount="0" totalsRowShown="0">
  <x:tableColumns count="8">
    <x:tableColumn id="1" name="Período"/>
    <x:tableColumn id="2" name="Ano"/>
    <x:tableColumn id="3" name="N.º período"/>
    <x:tableColumn id="4" name="Exportações"/>
    <x:tableColumn id="5" name="Importações"/>
    <x:tableColumn id="6" name="Global"/>
    <x:tableColumn id="7" name="SH8 Exp."/>
    <x:tableColumn id="8" name="SH8 Imp.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nualTable" displayName="anualTable" ref="A4:H8" headerRowCount="1" totalsRowCount="0" totalsRowShown="0">
  <x:tableColumns count="8">
    <x:tableColumn id="1" name="Período"/>
    <x:tableColumn id="2" name="Ano"/>
    <x:tableColumn id="3" name="N.º período"/>
    <x:tableColumn id="4" name="Exportações"/>
    <x:tableColumn id="5" name="Importações"/>
    <x:tableColumn id="6" name="Global"/>
    <x:tableColumn id="7" name="SH8 Exp."/>
    <x:tableColumn id="8" name="SH8 Imp.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bd17d99bca41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622611d6844f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86787ce3a84e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08890ec91041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45576895c141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8" hidden="0" customWidth="1"/>
    <x:col min="5" max="5" width="18" hidden="0" customWidth="1"/>
    <x:col min="6" max="6" width="40" hidden="0" customWidth="1"/>
  </x:cols>
  <x:sheetData>
    <x:row r="1" ht="34" customHeight="1">
      <x:c r="A1" s="25" t="str">
        <x:v>ÍNDICES RECALCULADOS DO COMÉRCIO EXTERNO</x:v>
      </x:c>
      <x:c r="B1" s="25"/>
      <x:c r="C1" s="25"/>
      <x:c r="D1" s="25"/>
      <x:c r="E1" s="25"/>
      <x:c r="F1" s="25"/>
      <x:c r="G1" s="26"/>
      <x:c r="H1" s="26"/>
      <x:c r="I1" s="26"/>
      <x:c r="J1" s="26"/>
      <x:c r="K1" s="26"/>
    </x:row>
    <x:row r="2" ht="25" customHeight="1">
      <x:c r="A2" s="27" t="str">
        <x:v>Exportações, importações e Global · Base 2022 = 100 · dados até Setembro de 2025</x:v>
      </x:c>
      <x:c r="B2" s="27"/>
      <x:c r="C2" s="27"/>
      <x:c r="D2" s="27"/>
      <x:c r="E2" s="27"/>
      <x:c r="F2" s="27"/>
      <x:c r="G2" s="26"/>
      <x:c r="H2" s="26"/>
      <x:c r="I2" s="26"/>
      <x:c r="J2" s="26"/>
      <x:c r="K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A4" s="28" t="str">
        <x:v>Índice</x:v>
      </x:c>
      <x:c r="B4" s="29" t="n">
        <x:v>2022</x:v>
      </x:c>
      <x:c r="C4" s="29" t="n">
        <x:v>2023</x:v>
      </x:c>
      <x:c r="D4" s="29" t="n">
        <x:v>2024</x:v>
      </x:c>
      <x:c r="E4" s="29" t="str">
        <x:v>2025 Jan–Set</x:v>
      </x:c>
      <x:c r="F4" s="30" t="str">
        <x:v>Leitura</x:v>
      </x:c>
      <x:c r="G4" s="26"/>
      <x:c r="H4" s="26"/>
      <x:c r="I4" s="26"/>
      <x:c r="J4" s="26"/>
      <x:c r="K4" s="26"/>
    </x:row>
    <x:row r="5">
      <x:c r="A5" s="31" t="str">
        <x:v>Exportações</x:v>
      </x:c>
      <x:c r="B5" s="32" t="n">
        <x:v>100.00000000000001</x:v>
      </x:c>
      <x:c r="C5" s="32" t="n">
        <x:v>95.0274039061299</x:v>
      </x:c>
      <x:c r="D5" s="32" t="n">
        <x:v>110.7732245539857</x:v>
      </x:c>
      <x:c r="E5" s="32" t="n">
        <x:v>88.1686919454075</x:v>
      </x:c>
      <x:c r="F5" s="26" t="str">
        <x:v>Novo ficheiro EXP_2022_2025.xlsx</x:v>
      </x:c>
      <x:c r="G5" s="26"/>
      <x:c r="H5" s="26"/>
      <x:c r="I5" s="26"/>
      <x:c r="J5" s="26"/>
      <x:c r="K5" s="26"/>
    </x:row>
    <x:row r="6">
      <x:c r="A6" s="31" t="str">
        <x:v>Importações</x:v>
      </x:c>
      <x:c r="B6" s="32" t="n">
        <x:v>100</x:v>
      </x:c>
      <x:c r="C6" s="32" t="n">
        <x:v>88.95958556705207</x:v>
      </x:c>
      <x:c r="D6" s="32" t="n">
        <x:v>82.81391655725996</x:v>
      </x:c>
      <x:c r="E6" s="32" t="n">
        <x:v>80.0292683254542</x:v>
      </x:c>
      <x:c r="F6" s="26" t="str">
        <x:v>Ficheiros IMP 2022–2025</x:v>
      </x:c>
      <x:c r="G6" s="26"/>
      <x:c r="H6" s="26"/>
      <x:c r="I6" s="26"/>
      <x:c r="J6" s="26"/>
      <x:c r="K6" s="26"/>
    </x:row>
    <x:row r="7">
      <x:c r="A7" s="31" t="str">
        <x:v>Global</x:v>
      </x:c>
      <x:c r="B7" s="32" t="n">
        <x:f>B5*$C$15+B6*$C$16</x:f>
        <x:v>100</x:v>
      </x:c>
      <x:c r="C7" s="32" t="n">
        <x:f>C5*$C$15+C6*$C$16</x:f>
        <x:v>91.99332782221767</x:v>
      </x:c>
      <x:c r="D7" s="32" t="n">
        <x:f>D5*$C$15+D6*$C$16</x:f>
        <x:v>96.7928014471703</x:v>
      </x:c>
      <x:c r="E7" s="32" t="n">
        <x:f>E5*$C$15+E6*$C$16</x:f>
        <x:v>84.0987562350573</x:v>
      </x:c>
      <x:c r="F7" s="26" t="str">
        <x:v>Ponderado pelos valores elegíveis de 2022</x:v>
      </x:c>
      <x:c r="G7" s="26"/>
      <x:c r="H7" s="26"/>
      <x:c r="I7" s="26"/>
      <x:c r="J7" s="26"/>
      <x:c r="K7" s="26"/>
    </x:row>
    <x:row r="8">
      <x:c r="A8" s="31" t="str">
        <x:v>Variação Global vs. base</x:v>
      </x:c>
      <x:c r="B8" s="32" t="n">
        <x:f>B7-100</x:f>
        <x:v>0</x:v>
      </x:c>
      <x:c r="C8" s="32" t="n">
        <x:f>C7-100</x:f>
        <x:v>-8.006672177782335</x:v>
      </x:c>
      <x:c r="D8" s="32" t="n">
        <x:f>D7-100</x:f>
        <x:v>-3.207198552829695</x:v>
      </x:c>
      <x:c r="E8" s="32" t="n">
        <x:f>E7-100</x:f>
        <x:v>-15.901243764942706</x:v>
      </x:c>
      <x:c r="F8" s="26" t="str">
        <x:v>Pontos de índice</x:v>
      </x:c>
      <x:c r="G8" s="26"/>
      <x:c r="H8" s="26"/>
      <x:c r="I8" s="26"/>
      <x:c r="J8" s="26"/>
      <x:c r="K8" s="26"/>
    </x:row>
    <x:row r="9">
      <x:c r="A9" s="31" t="str">
        <x:v>Cobertura 2025</x:v>
      </x:c>
      <x:c r="B9" s="26" t="str">
        <x:v>Jan–Set</x:v>
      </x:c>
      <x:c r="C9" s="26" t="str">
        <x:v>Jan–Set</x:v>
      </x:c>
      <x:c r="D9" s="26" t="str">
        <x:v>Jan–Set</x:v>
      </x:c>
      <x:c r="E9" s="26" t="str">
        <x:v>Jan–Set</x:v>
      </x:c>
      <x:c r="F9" s="26" t="str">
        <x:v>2025 não é ano completo</x:v>
      </x:c>
      <x:c r="G9" s="26"/>
      <x:c r="H9" s="26"/>
      <x:c r="I9" s="26"/>
      <x:c r="J9" s="26"/>
      <x:c r="K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</x:row>
    <x:row r="11">
      <x:c r="A11" s="33" t="str">
        <x:v>Nota de cobertura</x:v>
      </x:c>
      <x:c r="B11" s="33" t="str"/>
      <x:c r="C11" s="33" t="str"/>
      <x:c r="D11" s="33" t="str"/>
      <x:c r="E11" s="33" t="str"/>
      <x:c r="F11" s="33" t="str"/>
      <x:c r="G11" s="26"/>
      <x:c r="H11" s="26"/>
      <x:c r="I11" s="26"/>
      <x:c r="J11" s="26"/>
      <x:c r="K11" s="26"/>
    </x:row>
    <x:row r="12">
      <x:c r="A12" s="31" t="str">
        <x:v>2025</x:v>
      </x:c>
      <x:c r="B12" s="34" t="str">
        <x:v>As fontes de exportações e importações terminam em Setembro; todos os resultados de 2025 são Janeiro–Setembro.</x:v>
      </x:c>
      <x:c r="C12" s="34" t="str"/>
      <x:c r="D12" s="34" t="str"/>
      <x:c r="E12" s="34" t="str"/>
      <x:c r="F12" s="34" t="str"/>
      <x:c r="G12" s="26"/>
      <x:c r="H12" s="26"/>
      <x:c r="I12" s="26"/>
      <x:c r="J12" s="26"/>
      <x:c r="K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</x:row>
    <x:row r="14">
      <x:c r="A14" s="28" t="str">
        <x:v>Fluxo</x:v>
      </x:c>
      <x:c r="B14" s="29" t="str">
        <x:v>Valor elegível 2022 (USD)</x:v>
      </x:c>
      <x:c r="C14" s="30" t="str">
        <x:v>Peso</x:v>
      </x:c>
      <x:c r="D14" s="26"/>
      <x:c r="E14" s="26"/>
      <x:c r="F14" s="26"/>
      <x:c r="G14" s="26"/>
      <x:c r="H14" s="26"/>
      <x:c r="I14" s="26"/>
      <x:c r="J14" s="26"/>
      <x:c r="K14" s="26"/>
    </x:row>
    <x:row r="15">
      <x:c r="A15" s="26" t="str">
        <x:v>Exportações</x:v>
      </x:c>
      <x:c r="B15" s="35" t="n">
        <x:v>5517221948.763701</x:v>
      </x:c>
      <x:c r="C15" s="36" t="n">
        <x:v>0.4999724918637965</x:v>
      </x:c>
      <x:c r="D15" s="26"/>
      <x:c r="E15" s="26"/>
      <x:c r="F15" s="26"/>
      <x:c r="G15" s="26"/>
      <x:c r="H15" s="26"/>
      <x:c r="I15" s="26"/>
      <x:c r="J15" s="26"/>
      <x:c r="K15" s="26"/>
    </x:row>
    <x:row r="16">
      <x:c r="A16" s="26" t="str">
        <x:v>Importações</x:v>
      </x:c>
      <x:c r="B16" s="35" t="n">
        <x:v>5517829056.135813</x:v>
      </x:c>
      <x:c r="C16" s="36" t="n">
        <x:v>0.5000275081362036</x:v>
      </x:c>
      <x:c r="D16" s="26"/>
      <x:c r="E16" s="26"/>
      <x:c r="F16" s="26"/>
      <x:c r="G16" s="26"/>
      <x:c r="H16" s="26"/>
      <x:c r="I16" s="26"/>
      <x:c r="J16" s="26"/>
      <x:c r="K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</x:row>
    <x:row r="18">
      <x:c r="A18" s="28" t="str">
        <x:v>Previsão indicativa 2026</x:v>
      </x:c>
      <x:c r="B18" s="29" t="str">
        <x:v>Cenário central</x:v>
      </x:c>
      <x:c r="C18" s="29" t="str">
        <x:v>Cenário inferior</x:v>
      </x:c>
      <x:c r="D18" s="30" t="str">
        <x:v>Cenário superior</x:v>
      </x:c>
      <x:c r="E18" s="26"/>
      <x:c r="F18" s="26"/>
      <x:c r="G18" s="26"/>
      <x:c r="H18" s="26"/>
      <x:c r="I18" s="26"/>
      <x:c r="J18" s="26"/>
      <x:c r="K18" s="26"/>
    </x:row>
    <x:row r="19">
      <x:c r="A19" s="26" t="str">
        <x:v>Exportações</x:v>
      </x:c>
      <x:c r="B19" s="32" t="n">
        <x:v>93.55530422240054</x:v>
      </x:c>
      <x:c r="C19" s="32" t="n">
        <x:v>85.61525894908101</x:v>
      </x:c>
      <x:c r="D19" s="32" t="n">
        <x:v>101.49534949572006</x:v>
      </x:c>
      <x:c r="E19" s="26"/>
      <x:c r="F19" s="26"/>
      <x:c r="G19" s="26"/>
      <x:c r="H19" s="26"/>
      <x:c r="I19" s="26"/>
      <x:c r="J19" s="26"/>
      <x:c r="K19" s="26"/>
    </x:row>
    <x:row r="20">
      <x:c r="A20" s="26" t="str">
        <x:v>Importações</x:v>
      </x:c>
      <x:c r="B20" s="32" t="n">
        <x:v>71.43622660408437</x:v>
      </x:c>
      <x:c r="C20" s="32" t="n">
        <x:v>69.36517406634297</x:v>
      </x:c>
      <x:c r="D20" s="32" t="n">
        <x:v>73.50727914182576</x:v>
      </x:c>
      <x:c r="E20" s="26"/>
      <x:c r="F20" s="26"/>
      <x:c r="G20" s="26"/>
      <x:c r="H20" s="26" t="str">
        <x:v>Ano</x:v>
      </x:c>
      <x:c r="I20" s="26" t="str">
        <x:v>Exportações</x:v>
      </x:c>
      <x:c r="J20" s="26" t="str">
        <x:v>Importações</x:v>
      </x:c>
      <x:c r="K20" s="26" t="str">
        <x:v>Global</x:v>
      </x:c>
    </x:row>
    <x:row r="21">
      <x:c r="A21" s="26" t="str">
        <x:v>Global</x:v>
      </x:c>
      <x:c r="B21" s="32" t="n">
        <x:v>82.49515695864284</x:v>
      </x:c>
      <x:c r="C21" s="32" t="n">
        <x:v>78.9105945601424</x:v>
      </x:c>
      <x:c r="D21" s="32" t="n">
        <x:v>86.07971935714328</x:v>
      </x:c>
      <x:c r="E21" s="26"/>
      <x:c r="F21" s="26"/>
      <x:c r="G21" s="26"/>
      <x:c r="H21" s="26" t="n">
        <x:v>2022</x:v>
      </x:c>
      <x:c r="I21" s="26" t="n">
        <x:f>B5</x:f>
        <x:v>100.00000000000001</x:v>
      </x:c>
      <x:c r="J21" s="26" t="n">
        <x:f>B6</x:f>
        <x:v>100</x:v>
      </x:c>
      <x:c r="K21" s="26" t="n">
        <x:f>B7</x:f>
        <x:v>100</x:v>
      </x:c>
    </x:row>
    <x:row r="22">
      <x:c r="A22" s="27" t="str">
        <x:v>Nota</x:v>
      </x:c>
      <x:c r="B22" s="27" t="str">
        <x:v>Tendência linear OLS 2022–2025; 2025 corresponde a Janeiro–Setembro</x:v>
      </x:c>
      <x:c r="C22" s="27" t="str"/>
      <x:c r="D22" s="27" t="str"/>
      <x:c r="E22" s="26"/>
      <x:c r="F22" s="26"/>
      <x:c r="G22" s="26"/>
      <x:c r="H22" s="26" t="n">
        <x:v>2023</x:v>
      </x:c>
      <x:c r="I22" s="26" t="n">
        <x:f>C5</x:f>
        <x:v>95.0274039061299</x:v>
      </x:c>
      <x:c r="J22" s="26" t="n">
        <x:f>C6</x:f>
        <x:v>88.95958556705207</x:v>
      </x:c>
      <x:c r="K22" s="26" t="n">
        <x:f>C7</x:f>
        <x:v>91.99332782221767</x:v>
      </x:c>
    </x:row>
    <x:row r="23">
      <x:c r="A23" s="26"/>
      <x:c r="B23" s="26"/>
      <x:c r="C23" s="26"/>
      <x:c r="D23" s="26"/>
      <x:c r="E23" s="26"/>
      <x:c r="F23" s="26"/>
      <x:c r="G23" s="26"/>
      <x:c r="H23" s="26" t="n">
        <x:v>2024</x:v>
      </x:c>
      <x:c r="I23" s="26" t="n">
        <x:f>D5</x:f>
        <x:v>110.7732245539857</x:v>
      </x:c>
      <x:c r="J23" s="26" t="n">
        <x:f>D6</x:f>
        <x:v>82.81391655725996</x:v>
      </x:c>
      <x:c r="K23" s="26" t="n">
        <x:f>D7</x:f>
        <x:v>96.7928014471703</x:v>
      </x:c>
    </x:row>
    <x:row r="24">
      <x:c r="A24" s="26"/>
      <x:c r="B24" s="26"/>
      <x:c r="C24" s="26"/>
      <x:c r="D24" s="26"/>
      <x:c r="E24" s="26"/>
      <x:c r="F24" s="26"/>
      <x:c r="G24" s="26"/>
      <x:c r="H24" s="26" t="str">
        <x:v>2025 Jan–Set</x:v>
      </x:c>
      <x:c r="I24" s="26" t="n">
        <x:f>E5</x:f>
        <x:v>88.1686919454075</x:v>
      </x:c>
      <x:c r="J24" s="26" t="n">
        <x:f>E6</x:f>
        <x:v>80.0292683254542</x:v>
      </x:c>
      <x:c r="K24" s="26" t="n">
        <x:f>E7</x:f>
        <x:v>84.0987562350573</x:v>
      </x:c>
    </x:row>
  </x:sheetData>
  <x:mergeCells>
    <x:mergeCell ref="A1:F1"/>
    <x:mergeCell ref="A2:F2"/>
    <x:mergeCell ref="A11:F11"/>
    <x:mergeCell ref="B12:F12"/>
    <x:mergeCell ref="B22:D22"/>
  </x:mergeCells>
  <x:pageMargins left="0.7" right="0.7" top="0.75" bottom="0.75" header="0.3" footer="0.3"/>
  <x:drawing xmlns:r="http://schemas.openxmlformats.org/officeDocument/2006/relationships" r:id="Racbd17d99bca411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3" hidden="0" customWidth="1"/>
    <x:col min="4" max="4" width="16" hidden="0" customWidth="1"/>
    <x:col min="5" max="5" width="16" hidden="0" customWidth="1"/>
    <x:col min="6" max="6" width="14" hidden="0" customWidth="1"/>
    <x:col min="7" max="7" width="12" hidden="0" customWidth="1"/>
    <x:col min="8" max="8" width="12" hidden="0" customWidth="1"/>
  </x:cols>
  <x:sheetData>
    <x:row r="1" ht="34" customHeight="1">
      <x:c r="A1" s="25" t="str">
        <x:v>SÉRIE MENSAL</x:v>
      </x:c>
      <x:c r="B1" s="25"/>
      <x:c r="C1" s="25"/>
      <x:c r="D1" s="25"/>
      <x:c r="E1" s="25"/>
      <x:c r="F1" s="25"/>
      <x:c r="G1" s="25"/>
      <x:c r="H1" s="25"/>
    </x:row>
    <x:row r="2" ht="25" customHeight="1">
      <x:c r="A2" s="27" t="str">
        <x:v>Cada mês calculado a partir das respectivas transacções; não repete o índice anual.</x:v>
      </x:c>
      <x:c r="B2" s="27"/>
      <x:c r="C2" s="27"/>
      <x:c r="D2" s="27"/>
      <x:c r="E2" s="27"/>
      <x:c r="F2" s="27"/>
      <x:c r="G2" s="27"/>
      <x:c r="H2" s="27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8" t="str">
        <x:v>Período</x:v>
      </x:c>
      <x:c r="B4" s="29" t="str">
        <x:v>Ano</x:v>
      </x:c>
      <x:c r="C4" s="29" t="str">
        <x:v>N.º período</x:v>
      </x:c>
      <x:c r="D4" s="29" t="str">
        <x:v>Exportações</x:v>
      </x:c>
      <x:c r="E4" s="29" t="str">
        <x:v>Importações</x:v>
      </x:c>
      <x:c r="F4" s="29" t="str">
        <x:v>Global</x:v>
      </x:c>
      <x:c r="G4" s="29" t="str">
        <x:v>SH8 Exp.</x:v>
      </x:c>
      <x:c r="H4" s="30" t="str">
        <x:v>SH8 Imp.</x:v>
      </x:c>
    </x:row>
    <x:row r="5">
      <x:c r="A5" s="26" t="str">
        <x:v>2022-01</x:v>
      </x:c>
      <x:c r="B5" s="26" t="n">
        <x:v>2022</x:v>
      </x:c>
      <x:c r="C5" s="26" t="n">
        <x:v>1</x:v>
      </x:c>
      <x:c r="D5" s="32" t="n">
        <x:v>100.38178292125163</x:v>
      </x:c>
      <x:c r="E5" s="32" t="n">
        <x:v>104.81314447823327</x:v>
      </x:c>
      <x:c r="F5" s="32" t="n">
        <x:f>D5*'Síntese'!$C$15+E5*'Síntese'!$C$16</x:f>
        <x:v>102.59758559823973</x:v>
      </x:c>
      <x:c r="G5" s="35" t="n">
        <x:v>73</x:v>
      </x:c>
      <x:c r="H5" s="35" t="n">
        <x:v>267</x:v>
      </x:c>
    </x:row>
    <x:row r="6">
      <x:c r="A6" s="26" t="str">
        <x:v>2022-02</x:v>
      </x:c>
      <x:c r="B6" s="26" t="n">
        <x:v>2022</x:v>
      </x:c>
      <x:c r="C6" s="26" t="n">
        <x:v>2</x:v>
      </x:c>
      <x:c r="D6" s="32" t="n">
        <x:v>102.22264486331439</x:v>
      </x:c>
      <x:c r="E6" s="32" t="n">
        <x:v>98.08088898106736</x:v>
      </x:c>
      <x:c r="F6" s="32" t="n">
        <x:f>D6*'Síntese'!$C$15+E6*'Síntese'!$C$16</x:f>
        <x:v>100.15165299020595</x:v>
      </x:c>
      <x:c r="G6" s="35" t="n">
        <x:v>82</x:v>
      </x:c>
      <x:c r="H6" s="35" t="n">
        <x:v>270</x:v>
      </x:c>
    </x:row>
    <x:row r="7">
      <x:c r="A7" s="26" t="str">
        <x:v>2022-03</x:v>
      </x:c>
      <x:c r="B7" s="26" t="n">
        <x:v>2022</x:v>
      </x:c>
      <x:c r="C7" s="26" t="n">
        <x:v>3</x:v>
      </x:c>
      <x:c r="D7" s="32" t="n">
        <x:v>100.03888088223295</x:v>
      </x:c>
      <x:c r="E7" s="32" t="n">
        <x:v>100.62873187783707</x:v>
      </x:c>
      <x:c r="F7" s="32" t="n">
        <x:f>D7*'Síntese'!$C$15+E7*'Síntese'!$C$16</x:f>
        <x:v>100.33382260573654</x:v>
      </x:c>
      <x:c r="G7" s="35" t="n">
        <x:v>86</x:v>
      </x:c>
      <x:c r="H7" s="35" t="n">
        <x:v>271</x:v>
      </x:c>
    </x:row>
    <x:row r="8">
      <x:c r="A8" s="26" t="str">
        <x:v>2022-04</x:v>
      </x:c>
      <x:c r="B8" s="26" t="n">
        <x:v>2022</x:v>
      </x:c>
      <x:c r="C8" s="26" t="n">
        <x:v>4</x:v>
      </x:c>
      <x:c r="D8" s="32" t="n">
        <x:v>103.3904412423117</x:v>
      </x:c>
      <x:c r="E8" s="32" t="n">
        <x:v>96.39131770257558</x:v>
      </x:c>
      <x:c r="F8" s="32" t="n">
        <x:f>D8*'Síntese'!$C$15+E8*'Síntese'!$C$16</x:f>
        <x:v>99.8906869396</x:v>
      </x:c>
      <x:c r="G8" s="35" t="n">
        <x:v>81</x:v>
      </x:c>
      <x:c r="H8" s="35" t="n">
        <x:v>281</x:v>
      </x:c>
    </x:row>
    <x:row r="9">
      <x:c r="A9" s="26" t="str">
        <x:v>2022-05</x:v>
      </x:c>
      <x:c r="B9" s="26" t="n">
        <x:v>2022</x:v>
      </x:c>
      <x:c r="C9" s="26" t="n">
        <x:v>5</x:v>
      </x:c>
      <x:c r="D9" s="32" t="n">
        <x:v>97.99997749607489</x:v>
      </x:c>
      <x:c r="E9" s="32" t="n">
        <x:v>98.05596336432419</x:v>
      </x:c>
      <x:c r="F9" s="32" t="n">
        <x:f>D9*'Síntese'!$C$15+E9*'Síntese'!$C$16</x:f>
        <x:v>98.02797197026644</x:v>
      </x:c>
      <x:c r="G9" s="35" t="n">
        <x:v>82</x:v>
      </x:c>
      <x:c r="H9" s="35" t="n">
        <x:v>285</x:v>
      </x:c>
    </x:row>
    <x:row r="10">
      <x:c r="A10" s="26" t="str">
        <x:v>2022-06</x:v>
      </x:c>
      <x:c r="B10" s="26" t="n">
        <x:v>2022</x:v>
      </x:c>
      <x:c r="C10" s="26" t="n">
        <x:v>6</x:v>
      </x:c>
      <x:c r="D10" s="32" t="n">
        <x:v>101.02865614591255</x:v>
      </x:c>
      <x:c r="E10" s="32" t="n">
        <x:v>103.72245248279464</x:v>
      </x:c>
      <x:c r="F10" s="32" t="n">
        <x:f>D10*'Síntese'!$C$15+E10*'Síntese'!$C$16</x:f>
        <x:v>102.37562841567014</x:v>
      </x:c>
      <x:c r="G10" s="35" t="n">
        <x:v>85</x:v>
      </x:c>
      <x:c r="H10" s="35" t="n">
        <x:v>287</x:v>
      </x:c>
    </x:row>
    <x:row r="11">
      <x:c r="A11" s="26" t="str">
        <x:v>2022-07</x:v>
      </x:c>
      <x:c r="B11" s="26" t="n">
        <x:v>2022</x:v>
      </x:c>
      <x:c r="C11" s="26" t="n">
        <x:v>7</x:v>
      </x:c>
      <x:c r="D11" s="32" t="n">
        <x:v>101.84302849043645</x:v>
      </x:c>
      <x:c r="E11" s="32" t="n">
        <x:v>105.42852559666737</x:v>
      </x:c>
      <x:c r="F11" s="32" t="n">
        <x:f>D11*'Síntese'!$C$15+E11*'Síntese'!$C$16</x:f>
        <x:v>103.63587567389467</x:v>
      </x:c>
      <x:c r="G11" s="35" t="n">
        <x:v>81</x:v>
      </x:c>
      <x:c r="H11" s="35" t="n">
        <x:v>280</x:v>
      </x:c>
    </x:row>
    <x:row r="12">
      <x:c r="A12" s="26" t="str">
        <x:v>2022-08</x:v>
      </x:c>
      <x:c r="B12" s="26" t="n">
        <x:v>2022</x:v>
      </x:c>
      <x:c r="C12" s="26" t="n">
        <x:v>8</x:v>
      </x:c>
      <x:c r="D12" s="32" t="n">
        <x:v>97.83626319711449</x:v>
      </x:c>
      <x:c r="E12" s="32" t="n">
        <x:v>103.88070013541409</x:v>
      </x:c>
      <x:c r="F12" s="32" t="n">
        <x:f>D12*'Síntese'!$C$15+E12*'Síntese'!$C$16</x:f>
        <x:v>100.85864793745887</x:v>
      </x:c>
      <x:c r="G12" s="35" t="n">
        <x:v>89</x:v>
      </x:c>
      <x:c r="H12" s="35" t="n">
        <x:v>287</x:v>
      </x:c>
    </x:row>
    <x:row r="13">
      <x:c r="A13" s="26" t="str">
        <x:v>2022-09</x:v>
      </x:c>
      <x:c r="B13" s="26" t="n">
        <x:v>2022</x:v>
      </x:c>
      <x:c r="C13" s="26" t="n">
        <x:v>9</x:v>
      </x:c>
      <x:c r="D13" s="32" t="n">
        <x:v>102.93514056521924</x:v>
      </x:c>
      <x:c r="E13" s="32" t="n">
        <x:v>108.72177235597844</x:v>
      </x:c>
      <x:c r="F13" s="32" t="n">
        <x:f>D13*'Síntese'!$C$15+E13*'Síntese'!$C$16</x:f>
        <x:v>105.82861564005431</x:v>
      </x:c>
      <x:c r="G13" s="35" t="n">
        <x:v>88</x:v>
      </x:c>
      <x:c r="H13" s="35" t="n">
        <x:v>286</x:v>
      </x:c>
    </x:row>
    <x:row r="14">
      <x:c r="A14" s="26" t="str">
        <x:v>2022-10</x:v>
      </x:c>
      <x:c r="B14" s="26" t="n">
        <x:v>2022</x:v>
      </x:c>
      <x:c r="C14" s="26" t="n">
        <x:v>10</x:v>
      </x:c>
      <x:c r="D14" s="32" t="n">
        <x:v>100.39921823843439</x:v>
      </x:c>
      <x:c r="E14" s="32" t="n">
        <x:v>101.63492234464412</x:v>
      </x:c>
      <x:c r="F14" s="32" t="n">
        <x:f>D14*'Síntese'!$C$15+E14*'Síntese'!$C$16</x:f>
        <x:v>101.01710428345612</x:v>
      </x:c>
      <x:c r="G14" s="35" t="n">
        <x:v>86</x:v>
      </x:c>
      <x:c r="H14" s="35" t="n">
        <x:v>279</x:v>
      </x:c>
    </x:row>
    <x:row r="15">
      <x:c r="A15" s="26" t="str">
        <x:v>2022-11</x:v>
      </x:c>
      <x:c r="B15" s="26" t="n">
        <x:v>2022</x:v>
      </x:c>
      <x:c r="C15" s="26" t="n">
        <x:v>11</x:v>
      </x:c>
      <x:c r="D15" s="32" t="n">
        <x:v>101.11054458210303</x:v>
      </x:c>
      <x:c r="E15" s="32" t="n">
        <x:v>100.5891392364571</x:v>
      </x:c>
      <x:c r="F15" s="32" t="n">
        <x:f>D15*'Síntese'!$C$15+E15*'Síntese'!$C$16</x:f>
        <x:v>100.84982756639081</x:v>
      </x:c>
      <x:c r="G15" s="35" t="n">
        <x:v>88</x:v>
      </x:c>
      <x:c r="H15" s="35" t="n">
        <x:v>283</x:v>
      </x:c>
    </x:row>
    <x:row r="16">
      <x:c r="A16" s="26" t="str">
        <x:v>2022-12</x:v>
      </x:c>
      <x:c r="B16" s="26" t="n">
        <x:v>2022</x:v>
      </x:c>
      <x:c r="C16" s="26" t="n">
        <x:v>12</x:v>
      </x:c>
      <x:c r="D16" s="32" t="n">
        <x:v>99.58710270968476</x:v>
      </x:c>
      <x:c r="E16" s="32" t="n">
        <x:v>97.44882427825745</x:v>
      </x:c>
      <x:c r="F16" s="32" t="n">
        <x:f>D16*'Síntese'!$C$15+E16*'Síntese'!$C$16</x:f>
        <x:v>98.51790467391677</x:v>
      </x:c>
      <x:c r="G16" s="35" t="n">
        <x:v>79</x:v>
      </x:c>
      <x:c r="H16" s="35" t="n">
        <x:v>279</x:v>
      </x:c>
    </x:row>
    <x:row r="17">
      <x:c r="A17" s="26" t="str">
        <x:v>2023-01</x:v>
      </x:c>
      <x:c r="B17" s="26" t="n">
        <x:v>2023</x:v>
      </x:c>
      <x:c r="C17" s="26" t="n">
        <x:v>1</x:v>
      </x:c>
      <x:c r="D17" s="32" t="n">
        <x:v>89.05347775509465</x:v>
      </x:c>
      <x:c r="E17" s="32" t="n">
        <x:v>93.80931203588153</x:v>
      </x:c>
      <x:c r="F17" s="32" t="n">
        <x:f>D17*'Síntese'!$C$15+E17*'Síntese'!$C$16</x:f>
        <x:v>91.43152571962526</x:v>
      </x:c>
      <x:c r="G17" s="35" t="n">
        <x:v>53</x:v>
      </x:c>
      <x:c r="H17" s="35" t="n">
        <x:v>197</x:v>
      </x:c>
    </x:row>
    <x:row r="18">
      <x:c r="A18" s="26" t="str">
        <x:v>2023-02</x:v>
      </x:c>
      <x:c r="B18" s="26" t="n">
        <x:v>2023</x:v>
      </x:c>
      <x:c r="C18" s="26" t="n">
        <x:v>2</x:v>
      </x:c>
      <x:c r="D18" s="32" t="n">
        <x:v>80.51449990032057</x:v>
      </x:c>
      <x:c r="E18" s="32" t="n">
        <x:v>99.21035053861816</x:v>
      </x:c>
      <x:c r="F18" s="32" t="n">
        <x:f>D18*'Síntese'!$C$15+E18*'Síntese'!$C$16</x:f>
        <x:v>89.86293950747518</x:v>
      </x:c>
      <x:c r="G18" s="35" t="n">
        <x:v>53</x:v>
      </x:c>
      <x:c r="H18" s="35" t="n">
        <x:v>185</x:v>
      </x:c>
    </x:row>
    <x:row r="19">
      <x:c r="A19" s="26" t="str">
        <x:v>2023-03</x:v>
      </x:c>
      <x:c r="B19" s="26" t="n">
        <x:v>2023</x:v>
      </x:c>
      <x:c r="C19" s="26" t="n">
        <x:v>3</x:v>
      </x:c>
      <x:c r="D19" s="32" t="n">
        <x:v>121.98608312309807</x:v>
      </x:c>
      <x:c r="E19" s="32" t="n">
        <x:v>96.66985085736027</x:v>
      </x:c>
      <x:c r="F19" s="32" t="n">
        <x:f>D19*'Síntese'!$C$15+E19*'Síntese'!$C$16</x:f>
        <x:v>109.32727058786385</x:v>
      </x:c>
      <x:c r="G19" s="35" t="n">
        <x:v>48</x:v>
      </x:c>
      <x:c r="H19" s="35" t="n">
        <x:v>195</x:v>
      </x:c>
    </x:row>
    <x:row r="20">
      <x:c r="A20" s="26" t="str">
        <x:v>2023-04</x:v>
      </x:c>
      <x:c r="B20" s="26" t="n">
        <x:v>2023</x:v>
      </x:c>
      <x:c r="C20" s="26" t="n">
        <x:v>4</x:v>
      </x:c>
      <x:c r="D20" s="32" t="n">
        <x:v>95.6546437490313</x:v>
      </x:c>
      <x:c r="E20" s="32" t="n">
        <x:v>92.14963898009712</x:v>
      </x:c>
      <x:c r="F20" s="32" t="n">
        <x:f>D20*'Síntese'!$C$15+E20*'Síntese'!$C$16</x:f>
        <x:v>93.90204494841564</x:v>
      </x:c>
      <x:c r="G20" s="35" t="n">
        <x:v>52</x:v>
      </x:c>
      <x:c r="H20" s="35" t="n">
        <x:v>199</x:v>
      </x:c>
    </x:row>
    <x:row r="21">
      <x:c r="A21" s="26" t="str">
        <x:v>2023-05</x:v>
      </x:c>
      <x:c r="B21" s="26" t="n">
        <x:v>2023</x:v>
      </x:c>
      <x:c r="C21" s="26" t="n">
        <x:v>5</x:v>
      </x:c>
      <x:c r="D21" s="32" t="n">
        <x:v>90.90045161993073</x:v>
      </x:c>
      <x:c r="E21" s="32" t="n">
        <x:v>92.7620339419125</x:v>
      </x:c>
      <x:c r="F21" s="32" t="n">
        <x:f>D21*'Síntese'!$C$15+E21*'Síntese'!$C$16</x:f>
        <x:v>91.8312939895817</x:v>
      </x:c>
      <x:c r="G21" s="35" t="n">
        <x:v>47</x:v>
      </x:c>
      <x:c r="H21" s="35" t="n">
        <x:v>196</x:v>
      </x:c>
    </x:row>
    <x:row r="22">
      <x:c r="A22" s="26" t="str">
        <x:v>2023-06</x:v>
      </x:c>
      <x:c r="B22" s="26" t="n">
        <x:v>2023</x:v>
      </x:c>
      <x:c r="C22" s="26" t="n">
        <x:v>6</x:v>
      </x:c>
      <x:c r="D22" s="32" t="n">
        <x:v>114.50185077338193</x:v>
      </x:c>
      <x:c r="E22" s="32" t="n">
        <x:v>88.03098307753326</x:v>
      </x:c>
      <x:c r="F22" s="32" t="n">
        <x:f>D22*'Síntese'!$C$15+E22*'Síntese'!$C$16</x:f>
        <x:v>101.2656887612236</x:v>
      </x:c>
      <x:c r="G22" s="35" t="n">
        <x:v>53</x:v>
      </x:c>
      <x:c r="H22" s="35" t="n">
        <x:v>197</x:v>
      </x:c>
    </x:row>
    <x:row r="23">
      <x:c r="A23" s="26" t="str">
        <x:v>2023-07</x:v>
      </x:c>
      <x:c r="B23" s="26" t="n">
        <x:v>2023</x:v>
      </x:c>
      <x:c r="C23" s="26" t="n">
        <x:v>7</x:v>
      </x:c>
      <x:c r="D23" s="32" t="n">
        <x:v>110.76873050024633</x:v>
      </x:c>
      <x:c r="E23" s="32" t="n">
        <x:v>88.69449707487567</x:v>
      </x:c>
      <x:c r="F23" s="32" t="n">
        <x:f>D23*'Síntese'!$C$15+E23*'Síntese'!$C$16</x:f>
        <x:v>99.73100656654137</x:v>
      </x:c>
      <x:c r="G23" s="35" t="n">
        <x:v>46</x:v>
      </x:c>
      <x:c r="H23" s="35" t="n">
        <x:v>195</x:v>
      </x:c>
    </x:row>
    <x:row r="24">
      <x:c r="A24" s="26" t="str">
        <x:v>2023-08</x:v>
      </x:c>
      <x:c r="B24" s="26" t="n">
        <x:v>2023</x:v>
      </x:c>
      <x:c r="C24" s="26" t="n">
        <x:v>8</x:v>
      </x:c>
      <x:c r="D24" s="32" t="n">
        <x:v>87.39088909713628</x:v>
      </x:c>
      <x:c r="E24" s="32" t="n">
        <x:v>106.18979658195018</x:v>
      </x:c>
      <x:c r="F24" s="32" t="n">
        <x:f>D24*'Síntese'!$C$15+E24*'Síntese'!$C$16</x:f>
        <x:v>96.79085996245081</x:v>
      </x:c>
      <x:c r="G24" s="35" t="n">
        <x:v>54</x:v>
      </x:c>
      <x:c r="H24" s="35" t="n">
        <x:v>202</x:v>
      </x:c>
    </x:row>
    <x:row r="25">
      <x:c r="A25" s="26" t="str">
        <x:v>2023-09</x:v>
      </x:c>
      <x:c r="B25" s="26" t="n">
        <x:v>2023</x:v>
      </x:c>
      <x:c r="C25" s="26" t="n">
        <x:v>9</x:v>
      </x:c>
      <x:c r="D25" s="32" t="n">
        <x:v>96.97510082277728</x:v>
      </x:c>
      <x:c r="E25" s="32" t="n">
        <x:v>96.60403277778126</x:v>
      </x:c>
      <x:c r="F25" s="32" t="n">
        <x:f>D25*'Síntese'!$C$15+E25*'Síntese'!$C$16</x:f>
        <x:v>96.78955659288894</x:v>
      </x:c>
      <x:c r="G25" s="35" t="n">
        <x:v>51</x:v>
      </x:c>
      <x:c r="H25" s="35" t="n">
        <x:v>189</x:v>
      </x:c>
    </x:row>
    <x:row r="26">
      <x:c r="A26" s="26" t="str">
        <x:v>2023-10</x:v>
      </x:c>
      <x:c r="B26" s="26" t="n">
        <x:v>2023</x:v>
      </x:c>
      <x:c r="C26" s="26" t="n">
        <x:v>10</x:v>
      </x:c>
      <x:c r="D26" s="32" t="n">
        <x:v>112.91121090487616</x:v>
      </x:c>
      <x:c r="E26" s="32" t="n">
        <x:v>87.22904480288176</x:v>
      </x:c>
      <x:c r="F26" s="32" t="n">
        <x:f>D26*'Síntese'!$C$15+E26*'Síntese'!$C$16</x:f>
        <x:v>100.06942138535584</x:v>
      </x:c>
      <x:c r="G26" s="35" t="n">
        <x:v>48</x:v>
      </x:c>
      <x:c r="H26" s="35" t="n">
        <x:v>200</x:v>
      </x:c>
    </x:row>
    <x:row r="27">
      <x:c r="A27" s="26" t="str">
        <x:v>2023-11</x:v>
      </x:c>
      <x:c r="B27" s="26" t="n">
        <x:v>2023</x:v>
      </x:c>
      <x:c r="C27" s="26" t="n">
        <x:v>11</x:v>
      </x:c>
      <x:c r="D27" s="32" t="n">
        <x:v>126.65057565080502</x:v>
      </x:c>
      <x:c r="E27" s="32" t="n">
        <x:v>92.6537313753384</x:v>
      </x:c>
      <x:c r="F27" s="32" t="n">
        <x:f>D27*'Síntese'!$C$15+E27*'Síntese'!$C$16</x:f>
        <x:v>109.6512183232489</x:v>
      </x:c>
      <x:c r="G27" s="35" t="n">
        <x:v>49</x:v>
      </x:c>
      <x:c r="H27" s="35" t="n">
        <x:v>200</x:v>
      </x:c>
    </x:row>
    <x:row r="28">
      <x:c r="A28" s="26" t="str">
        <x:v>2023-12</x:v>
      </x:c>
      <x:c r="B28" s="26" t="n">
        <x:v>2023</x:v>
      </x:c>
      <x:c r="C28" s="26" t="n">
        <x:v>12</x:v>
      </x:c>
      <x:c r="D28" s="32" t="n">
        <x:v>103.20240188891442</x:v>
      </x:c>
      <x:c r="E28" s="32" t="n">
        <x:v>92.56260614647084</x:v>
      </x:c>
      <x:c r="F28" s="32" t="n">
        <x:f>D28*'Síntese'!$C$15+E28*'Síntese'!$C$16</x:f>
        <x:v>97.88221133674219</x:v>
      </x:c>
      <x:c r="G28" s="35" t="n">
        <x:v>46</x:v>
      </x:c>
      <x:c r="H28" s="35" t="n">
        <x:v>190</x:v>
      </x:c>
    </x:row>
    <x:row r="29">
      <x:c r="A29" s="26" t="str">
        <x:v>2024-01</x:v>
      </x:c>
      <x:c r="B29" s="26" t="n">
        <x:v>2024</x:v>
      </x:c>
      <x:c r="C29" s="26" t="n">
        <x:v>1</x:v>
      </x:c>
      <x:c r="D29" s="32" t="n">
        <x:v>85.47400120064368</x:v>
      </x:c>
      <x:c r="E29" s="32" t="n">
        <x:v>85.07745550437771</x:v>
      </x:c>
      <x:c r="F29" s="32" t="n">
        <x:f>D29*'Síntese'!$C$15+E29*'Síntese'!$C$16</x:f>
        <x:v>85.27571744427769</x:v>
      </x:c>
      <x:c r="G29" s="35" t="n">
        <x:v>50</x:v>
      </x:c>
      <x:c r="H29" s="35" t="n">
        <x:v>180</x:v>
      </x:c>
    </x:row>
    <x:row r="30">
      <x:c r="A30" s="26" t="str">
        <x:v>2024-02</x:v>
      </x:c>
      <x:c r="B30" s="26" t="n">
        <x:v>2024</x:v>
      </x:c>
      <x:c r="C30" s="26" t="n">
        <x:v>2</x:v>
      </x:c>
      <x:c r="D30" s="32" t="n">
        <x:v>115.66756582847272</x:v>
      </x:c>
      <x:c r="E30" s="32" t="n">
        <x:v>85.36177004313514</x:v>
      </x:c>
      <x:c r="F30" s="32" t="n">
        <x:f>D30*'Síntese'!$C$15+E30*'Síntese'!$C$16</x:f>
        <x:v>100.51383427984572</x:v>
      </x:c>
      <x:c r="G30" s="35" t="n">
        <x:v>48</x:v>
      </x:c>
      <x:c r="H30" s="35" t="n">
        <x:v>188</x:v>
      </x:c>
    </x:row>
    <x:row r="31">
      <x:c r="A31" s="26" t="str">
        <x:v>2024-03</x:v>
      </x:c>
      <x:c r="B31" s="26" t="n">
        <x:v>2024</x:v>
      </x:c>
      <x:c r="C31" s="26" t="n">
        <x:v>3</x:v>
      </x:c>
      <x:c r="D31" s="32" t="n">
        <x:v>117.93958966367455</x:v>
      </x:c>
      <x:c r="E31" s="32" t="n">
        <x:v>83.10962772157579</x:v>
      </x:c>
      <x:c r="F31" s="32" t="n">
        <x:f>D31*'Síntese'!$C$15+E31*'Síntese'!$C$16</x:f>
        <x:v>100.52365058528811</x:v>
      </x:c>
      <x:c r="G31" s="35" t="n">
        <x:v>45</x:v>
      </x:c>
      <x:c r="H31" s="35" t="n">
        <x:v>190</x:v>
      </x:c>
    </x:row>
    <x:row r="32">
      <x:c r="A32" s="26" t="str">
        <x:v>2024-04</x:v>
      </x:c>
      <x:c r="B32" s="26" t="n">
        <x:v>2024</x:v>
      </x:c>
      <x:c r="C32" s="26" t="n">
        <x:v>4</x:v>
      </x:c>
      <x:c r="D32" s="32" t="n">
        <x:v>124.01489149071145</x:v>
      </x:c>
      <x:c r="E32" s="32" t="n">
        <x:v>86.50227422900547</x:v>
      </x:c>
      <x:c r="F32" s="32" t="n">
        <x:f>D32*'Síntese'!$C$15+E32*'Síntese'!$C$16</x:f>
        <x:v>105.25755095767347</x:v>
      </x:c>
      <x:c r="G32" s="35" t="n">
        <x:v>43</x:v>
      </x:c>
      <x:c r="H32" s="35" t="n">
        <x:v>184</x:v>
      </x:c>
    </x:row>
    <x:row r="33">
      <x:c r="A33" s="26" t="str">
        <x:v>2024-05</x:v>
      </x:c>
      <x:c r="B33" s="26" t="n">
        <x:v>2024</x:v>
      </x:c>
      <x:c r="C33" s="26" t="n">
        <x:v>5</x:v>
      </x:c>
      <x:c r="D33" s="32" t="n">
        <x:v>122.11778662224866</x:v>
      </x:c>
      <x:c r="E33" s="32" t="n">
        <x:v>99.25334796691729</x:v>
      </x:c>
      <x:c r="F33" s="32" t="n">
        <x:f>D33*'Síntese'!$C$15+E33*'Síntese'!$C$16</x:f>
        <x:v>110.68493833649023</x:v>
      </x:c>
      <x:c r="G33" s="35" t="n">
        <x:v>43</x:v>
      </x:c>
      <x:c r="H33" s="35" t="n">
        <x:v>197</x:v>
      </x:c>
    </x:row>
    <x:row r="34">
      <x:c r="A34" s="26" t="str">
        <x:v>2024-06</x:v>
      </x:c>
      <x:c r="B34" s="26" t="n">
        <x:v>2024</x:v>
      </x:c>
      <x:c r="C34" s="26" t="n">
        <x:v>6</x:v>
      </x:c>
      <x:c r="D34" s="32" t="n">
        <x:v>128.30658119851148</x:v>
      </x:c>
      <x:c r="E34" s="32" t="n">
        <x:v>91.76823798140792</x:v>
      </x:c>
      <x:c r="F34" s="32" t="n">
        <x:f>D34*'Síntese'!$C$15+E34*'Síntese'!$C$16</x:f>
        <x:v>110.03640448823784</x:v>
      </x:c>
      <x:c r="G34" s="35" t="n">
        <x:v>49</x:v>
      </x:c>
      <x:c r="H34" s="35" t="n">
        <x:v>198</x:v>
      </x:c>
    </x:row>
    <x:row r="35">
      <x:c r="A35" s="26" t="str">
        <x:v>2024-07</x:v>
      </x:c>
      <x:c r="B35" s="26" t="n">
        <x:v>2024</x:v>
      </x:c>
      <x:c r="C35" s="26" t="n">
        <x:v>7</x:v>
      </x:c>
      <x:c r="D35" s="32" t="n">
        <x:v>82.96366220450233</x:v>
      </x:c>
      <x:c r="E35" s="32" t="n">
        <x:v>89.83850711516877</x:v>
      </x:c>
      <x:c r="F35" s="32" t="n">
        <x:f>D35*'Síntese'!$C$15+E35*'Síntese'!$C$16</x:f>
        <x:v>86.40127377400573</x:v>
      </x:c>
      <x:c r="G35" s="35" t="n">
        <x:v>48</x:v>
      </x:c>
      <x:c r="H35" s="35" t="n">
        <x:v>195</x:v>
      </x:c>
    </x:row>
    <x:row r="36">
      <x:c r="A36" s="26" t="str">
        <x:v>2024-08</x:v>
      </x:c>
      <x:c r="B36" s="26" t="n">
        <x:v>2024</x:v>
      </x:c>
      <x:c r="C36" s="26" t="n">
        <x:v>8</x:v>
      </x:c>
      <x:c r="D36" s="32" t="n">
        <x:v>112.66710577246913</x:v>
      </x:c>
      <x:c r="E36" s="32" t="n">
        <x:v>81.05729451522951</x:v>
      </x:c>
      <x:c r="F36" s="32" t="n">
        <x:f>D36*'Síntese'!$C$15+E36*'Síntese'!$C$16</x:f>
        <x:v>96.8613306168559</x:v>
      </x:c>
      <x:c r="G36" s="35" t="n">
        <x:v>51</x:v>
      </x:c>
      <x:c r="H36" s="35" t="n">
        <x:v>189</x:v>
      </x:c>
    </x:row>
    <x:row r="37">
      <x:c r="A37" s="26" t="str">
        <x:v>2024-09</x:v>
      </x:c>
      <x:c r="B37" s="26" t="n">
        <x:v>2024</x:v>
      </x:c>
      <x:c r="C37" s="26" t="n">
        <x:v>9</x:v>
      </x:c>
      <x:c r="D37" s="32" t="n">
        <x:v>99.07009953267911</x:v>
      </x:c>
      <x:c r="E37" s="32" t="n">
        <x:v>91.69009971937814</x:v>
      </x:c>
      <x:c r="F37" s="32" t="n">
        <x:f>D37*'Síntese'!$C$15+E37*'Síntese'!$C$16</x:f>
        <x:v>95.37989661598859</x:v>
      </x:c>
      <x:c r="G37" s="35" t="n">
        <x:v>46</x:v>
      </x:c>
      <x:c r="H37" s="35" t="n">
        <x:v>190</x:v>
      </x:c>
    </x:row>
    <x:row r="38">
      <x:c r="A38" s="26" t="str">
        <x:v>2024-10</x:v>
      </x:c>
      <x:c r="B38" s="26" t="n">
        <x:v>2024</x:v>
      </x:c>
      <x:c r="C38" s="26" t="n">
        <x:v>10</x:v>
      </x:c>
      <x:c r="D38" s="32" t="n">
        <x:v>118.84000909994126</x:v>
      </x:c>
      <x:c r="E38" s="32" t="n">
        <x:v>79.48521090519743</x:v>
      </x:c>
      <x:c r="F38" s="32" t="n">
        <x:f>D38*'Síntese'!$C$15+E38*'Síntese'!$C$16</x:f>
        <x:v>99.16152742542036</x:v>
      </x:c>
      <x:c r="G38" s="35" t="n">
        <x:v>47</x:v>
      </x:c>
      <x:c r="H38" s="35" t="n">
        <x:v>182</x:v>
      </x:c>
    </x:row>
    <x:row r="39">
      <x:c r="A39" s="26" t="str">
        <x:v>2024-11</x:v>
      </x:c>
      <x:c r="B39" s="26" t="n">
        <x:v>2024</x:v>
      </x:c>
      <x:c r="C39" s="26" t="n">
        <x:v>11</x:v>
      </x:c>
      <x:c r="D39" s="32" t="n">
        <x:v>85.21534805013562</x:v>
      </x:c>
      <x:c r="E39" s="32" t="n">
        <x:v>88.52011872546227</x:v>
      </x:c>
      <x:c r="F39" s="32" t="n">
        <x:f>D39*'Síntese'!$C$15+E39*'Síntese'!$C$16</x:f>
        <x:v>86.86782429588081</x:v>
      </x:c>
      <x:c r="G39" s="35" t="n">
        <x:v>50</x:v>
      </x:c>
      <x:c r="H39" s="35" t="n">
        <x:v>189</x:v>
      </x:c>
    </x:row>
    <x:row r="40">
      <x:c r="A40" s="26" t="str">
        <x:v>2024-12</x:v>
      </x:c>
      <x:c r="B40" s="26" t="n">
        <x:v>2024</x:v>
      </x:c>
      <x:c r="C40" s="26" t="n">
        <x:v>12</x:v>
      </x:c>
      <x:c r="D40" s="32" t="n">
        <x:v>101.56876041510023</x:v>
      </x:c>
      <x:c r="E40" s="32" t="n">
        <x:v>85.91307611889857</x:v>
      </x:c>
      <x:c r="F40" s="32" t="n">
        <x:f>D40*'Síntese'!$C$15+E40*'Síntese'!$C$16</x:f>
        <x:v>93.74048760830343</x:v>
      </x:c>
      <x:c r="G40" s="35" t="n">
        <x:v>43</x:v>
      </x:c>
      <x:c r="H40" s="35" t="n">
        <x:v>185</x:v>
      </x:c>
    </x:row>
    <x:row r="41">
      <x:c r="A41" s="26" t="str">
        <x:v>2025-01</x:v>
      </x:c>
      <x:c r="B41" s="26" t="n">
        <x:v>2025</x:v>
      </x:c>
      <x:c r="C41" s="26" t="n">
        <x:v>1</x:v>
      </x:c>
      <x:c r="D41" s="32" t="n">
        <x:v>95.51726761040909</x:v>
      </x:c>
      <x:c r="E41" s="32" t="n">
        <x:v>85.11793558839105</x:v>
      </x:c>
      <x:c r="F41" s="32" t="n">
        <x:f>D41*'Síntese'!$C$15+E41*'Síntese'!$C$16</x:f>
        <x:v>90.31731553315839</x:v>
      </x:c>
      <x:c r="G41" s="35" t="n">
        <x:v>32</x:v>
      </x:c>
      <x:c r="H41" s="35" t="n">
        <x:v>173</x:v>
      </x:c>
    </x:row>
    <x:row r="42">
      <x:c r="A42" s="26" t="str">
        <x:v>2025-02</x:v>
      </x:c>
      <x:c r="B42" s="26" t="n">
        <x:v>2025</x:v>
      </x:c>
      <x:c r="C42" s="26" t="n">
        <x:v>2</x:v>
      </x:c>
      <x:c r="D42" s="32" t="n">
        <x:v>87.46222541511591</x:v>
      </x:c>
      <x:c r="E42" s="32" t="n">
        <x:v>81.00687375042645</x:v>
      </x:c>
      <x:c r="F42" s="32" t="n">
        <x:f>D42*'Síntese'!$C$15+E42*'Síntese'!$C$16</x:f>
        <x:v>84.23437200807835</x:v>
      </x:c>
      <x:c r="G42" s="35" t="n">
        <x:v>42</x:v>
      </x:c>
      <x:c r="H42" s="35" t="n">
        <x:v>177</x:v>
      </x:c>
    </x:row>
    <x:row r="43">
      <x:c r="A43" s="26" t="str">
        <x:v>2025-03</x:v>
      </x:c>
      <x:c r="B43" s="26" t="n">
        <x:v>2025</x:v>
      </x:c>
      <x:c r="C43" s="26" t="n">
        <x:v>3</x:v>
      </x:c>
      <x:c r="D43" s="32" t="n">
        <x:v>97.55386899471803</x:v>
      </x:c>
      <x:c r="E43" s="32" t="n">
        <x:v>81.51589430322247</x:v>
      </x:c>
      <x:c r="F43" s="32" t="n">
        <x:f>D43*'Síntese'!$C$15+E43*'Síntese'!$C$16</x:f>
        <x:v>89.53444047417801</x:v>
      </x:c>
      <x:c r="G43" s="35" t="n">
        <x:v>41</x:v>
      </x:c>
      <x:c r="H43" s="35" t="n">
        <x:v>179</x:v>
      </x:c>
    </x:row>
    <x:row r="44">
      <x:c r="A44" s="26" t="str">
        <x:v>2025-04</x:v>
      </x:c>
      <x:c r="B44" s="26" t="n">
        <x:v>2025</x:v>
      </x:c>
      <x:c r="C44" s="26" t="n">
        <x:v>4</x:v>
      </x:c>
      <x:c r="D44" s="32" t="n">
        <x:v>99.98375352010552</x:v>
      </x:c>
      <x:c r="E44" s="32" t="n">
        <x:v>84.64995049671042</x:v>
      </x:c>
      <x:c r="F44" s="32" t="n">
        <x:f>D44*'Síntese'!$C$15+E44*'Síntese'!$C$16</x:f>
        <x:v>92.31643020406588</x:v>
      </x:c>
      <x:c r="G44" s="35" t="n">
        <x:v>46</x:v>
      </x:c>
      <x:c r="H44" s="35" t="n">
        <x:v>187</x:v>
      </x:c>
    </x:row>
    <x:row r="45">
      <x:c r="A45" s="26" t="str">
        <x:v>2025-05</x:v>
      </x:c>
      <x:c r="B45" s="26" t="n">
        <x:v>2025</x:v>
      </x:c>
      <x:c r="C45" s="26" t="n">
        <x:v>5</x:v>
      </x:c>
      <x:c r="D45" s="32" t="n">
        <x:v>102.52936769233702</x:v>
      </x:c>
      <x:c r="E45" s="32" t="n">
        <x:v>83.09293923034816</x:v>
      </x:c>
      <x:c r="F45" s="32" t="n">
        <x:f>D45*'Síntese'!$C$15+E45*'Síntese'!$C$16</x:f>
        <x:v>92.81061880142116</x:v>
      </x:c>
      <x:c r="G45" s="35" t="n">
        <x:v>41</x:v>
      </x:c>
      <x:c r="H45" s="35" t="n">
        <x:v>186</x:v>
      </x:c>
    </x:row>
    <x:row r="46">
      <x:c r="A46" s="26" t="str">
        <x:v>2025-06</x:v>
      </x:c>
      <x:c r="B46" s="26" t="n">
        <x:v>2025</x:v>
      </x:c>
      <x:c r="C46" s="26" t="n">
        <x:v>6</x:v>
      </x:c>
      <x:c r="D46" s="32" t="n">
        <x:v>78.51122475598368</x:v>
      </x:c>
      <x:c r="E46" s="32" t="n">
        <x:v>84.6431831250301</x:v>
      </x:c>
      <x:c r="F46" s="32" t="n">
        <x:f>D46*'Síntese'!$C$15+E46*'Síntese'!$C$16</x:f>
        <x:v>81.57737261925291</x:v>
      </x:c>
      <x:c r="G46" s="35" t="n">
        <x:v>41</x:v>
      </x:c>
      <x:c r="H46" s="35" t="n">
        <x:v>183</x:v>
      </x:c>
    </x:row>
    <x:row r="47">
      <x:c r="A47" s="26" t="str">
        <x:v>2025-07</x:v>
      </x:c>
      <x:c r="B47" s="26" t="n">
        <x:v>2025</x:v>
      </x:c>
      <x:c r="C47" s="26" t="n">
        <x:v>7</x:v>
      </x:c>
      <x:c r="D47" s="32" t="n">
        <x:v>95.53127166303364</x:v>
      </x:c>
      <x:c r="E47" s="32" t="n">
        <x:v>84.81327899331929</x:v>
      </x:c>
      <x:c r="F47" s="32" t="n">
        <x:f>D47*'Síntese'!$C$15+E47*'Síntese'!$C$16</x:f>
        <x:v>90.17198049617429</x:v>
      </x:c>
      <x:c r="G47" s="35" t="n">
        <x:v>46</x:v>
      </x:c>
      <x:c r="H47" s="35" t="n">
        <x:v>179</x:v>
      </x:c>
    </x:row>
    <x:row r="48">
      <x:c r="A48" s="26" t="str">
        <x:v>2025-08</x:v>
      </x:c>
      <x:c r="B48" s="26" t="n">
        <x:v>2025</x:v>
      </x:c>
      <x:c r="C48" s="26" t="n">
        <x:v>8</x:v>
      </x:c>
      <x:c r="D48" s="32" t="n">
        <x:v>85.24101872083538</x:v>
      </x:c>
      <x:c r="E48" s="32" t="n">
        <x:v>85.75434479212947</x:v>
      </x:c>
      <x:c r="F48" s="32" t="n">
        <x:f>D48*'Síntese'!$C$15+E48*'Síntese'!$C$16</x:f>
        <x:v>85.49769587712592</x:v>
      </x:c>
      <x:c r="G48" s="35" t="n">
        <x:v>40</x:v>
      </x:c>
      <x:c r="H48" s="35" t="n">
        <x:v>188</x:v>
      </x:c>
    </x:row>
    <x:row r="49">
      <x:c r="A49" s="26" t="str">
        <x:v>2025-09</x:v>
      </x:c>
      <x:c r="B49" s="26" t="n">
        <x:v>2025</x:v>
      </x:c>
      <x:c r="C49" s="26" t="n">
        <x:v>9</x:v>
      </x:c>
      <x:c r="D49" s="32" t="n">
        <x:v>97.56100961857145</x:v>
      </x:c>
      <x:c r="E49" s="32" t="n">
        <x:v>99.90151136836562</x:v>
      </x:c>
      <x:c r="F49" s="32" t="n">
        <x:f>D49*'Síntese'!$C$15+E49*'Síntese'!$C$16</x:f>
        <x:v>98.73132487630946</x:v>
      </x:c>
      <x:c r="G49" s="35" t="n">
        <x:v>40</x:v>
      </x:c>
      <x:c r="H49" s="35" t="n">
        <x:v>175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6622611d6844f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3" hidden="0" customWidth="1"/>
    <x:col min="4" max="4" width="16" hidden="0" customWidth="1"/>
    <x:col min="5" max="5" width="16" hidden="0" customWidth="1"/>
    <x:col min="6" max="6" width="14" hidden="0" customWidth="1"/>
    <x:col min="7" max="7" width="12" hidden="0" customWidth="1"/>
    <x:col min="8" max="8" width="12" hidden="0" customWidth="1"/>
  </x:cols>
  <x:sheetData>
    <x:row r="1" ht="34" customHeight="1">
      <x:c r="A1" s="25" t="str">
        <x:v>SÉRIE TRIMESTRAL</x:v>
      </x:c>
      <x:c r="B1" s="25"/>
      <x:c r="C1" s="25"/>
      <x:c r="D1" s="25"/>
      <x:c r="E1" s="25"/>
      <x:c r="F1" s="25"/>
      <x:c r="G1" s="25"/>
      <x:c r="H1" s="25"/>
    </x:row>
    <x:row r="2" ht="25" customHeight="1">
      <x:c r="A2" s="27" t="str">
        <x:v>T1=Jan–Mar; T2=Abr–Jun; T3=Jul–Set; T4=Out–Dez.</x:v>
      </x:c>
      <x:c r="B2" s="27"/>
      <x:c r="C2" s="27"/>
      <x:c r="D2" s="27"/>
      <x:c r="E2" s="27"/>
      <x:c r="F2" s="27"/>
      <x:c r="G2" s="27"/>
      <x:c r="H2" s="27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8" t="str">
        <x:v>Período</x:v>
      </x:c>
      <x:c r="B4" s="29" t="str">
        <x:v>Ano</x:v>
      </x:c>
      <x:c r="C4" s="29" t="str">
        <x:v>N.º período</x:v>
      </x:c>
      <x:c r="D4" s="29" t="str">
        <x:v>Exportações</x:v>
      </x:c>
      <x:c r="E4" s="29" t="str">
        <x:v>Importações</x:v>
      </x:c>
      <x:c r="F4" s="29" t="str">
        <x:v>Global</x:v>
      </x:c>
      <x:c r="G4" s="29" t="str">
        <x:v>SH8 Exp.</x:v>
      </x:c>
      <x:c r="H4" s="30" t="str">
        <x:v>SH8 Imp.</x:v>
      </x:c>
    </x:row>
    <x:row r="5">
      <x:c r="A5" s="26" t="str">
        <x:v>2022 T1</x:v>
      </x:c>
      <x:c r="B5" s="26" t="n">
        <x:v>2022</x:v>
      </x:c>
      <x:c r="C5" s="26" t="n">
        <x:v>1</x:v>
      </x:c>
      <x:c r="D5" s="32" t="n">
        <x:v>100.14274546715403</x:v>
      </x:c>
      <x:c r="E5" s="32" t="n">
        <x:v>100.33205109551005</x:v>
      </x:c>
      <x:c r="F5" s="32" t="n">
        <x:f>D5*'Síntese'!$C$15+E5*'Síntese'!$C$16</x:f>
        <x:v>100.23740348877706</x:v>
      </x:c>
      <x:c r="G5" s="35" t="n">
        <x:v>93</x:v>
      </x:c>
      <x:c r="H5" s="35" t="n">
        <x:v>292</x:v>
      </x:c>
    </x:row>
    <x:row r="6">
      <x:c r="A6" s="26" t="str">
        <x:v>2022 T2</x:v>
      </x:c>
      <x:c r="B6" s="26" t="n">
        <x:v>2022</x:v>
      </x:c>
      <x:c r="C6" s="26" t="n">
        <x:v>2</x:v>
      </x:c>
      <x:c r="D6" s="32" t="n">
        <x:v>100.38503847196826</x:v>
      </x:c>
      <x:c r="E6" s="32" t="n">
        <x:v>99.1678940803121</x:v>
      </x:c>
      <x:c r="F6" s="32" t="n">
        <x:f>D6*'Síntese'!$C$15+E6*'Síntese'!$C$16</x:f>
        <x:v>99.77643279476646</x:v>
      </x:c>
      <x:c r="G6" s="35" t="n">
        <x:v>95</x:v>
      </x:c>
      <x:c r="H6" s="35" t="n">
        <x:v>299</x:v>
      </x:c>
    </x:row>
    <x:row r="7">
      <x:c r="A7" s="26" t="str">
        <x:v>2022 T3</x:v>
      </x:c>
      <x:c r="B7" s="26" t="n">
        <x:v>2022</x:v>
      </x:c>
      <x:c r="C7" s="26" t="n">
        <x:v>3</x:v>
      </x:c>
      <x:c r="D7" s="32" t="n">
        <x:v>100.43221205771282</x:v>
      </x:c>
      <x:c r="E7" s="32" t="n">
        <x:v>105.27028956619336</x:v>
      </x:c>
      <x:c r="F7" s="32" t="n">
        <x:f>D7*'Síntese'!$C$15+E7*'Síntese'!$C$16</x:f>
        <x:v>102.85138389844815</x:v>
      </x:c>
      <x:c r="G7" s="35" t="n">
        <x:v>94</x:v>
      </x:c>
      <x:c r="H7" s="35" t="n">
        <x:v>299</x:v>
      </x:c>
    </x:row>
    <x:row r="8">
      <x:c r="A8" s="26" t="str">
        <x:v>2022 T4</x:v>
      </x:c>
      <x:c r="B8" s="26" t="n">
        <x:v>2022</x:v>
      </x:c>
      <x:c r="C8" s="26" t="n">
        <x:v>4</x:v>
      </x:c>
      <x:c r="D8" s="32" t="n">
        <x:v>100.03136729984185</x:v>
      </x:c>
      <x:c r="E8" s="32" t="n">
        <x:v>98.82648566919461</x:v>
      </x:c>
      <x:c r="F8" s="32" t="n">
        <x:f>D8*'Síntese'!$C$15+E8*'Síntese'!$C$16</x:f>
        <x:v>99.42889334047022</x:v>
      </x:c>
      <x:c r="G8" s="35" t="n">
        <x:v>96</x:v>
      </x:c>
      <x:c r="H8" s="35" t="n">
        <x:v>297</x:v>
      </x:c>
    </x:row>
    <x:row r="9">
      <x:c r="A9" s="26" t="str">
        <x:v>2023 T1</x:v>
      </x:c>
      <x:c r="B9" s="26" t="n">
        <x:v>2023</x:v>
      </x:c>
      <x:c r="C9" s="26" t="n">
        <x:v>1</x:v>
      </x:c>
      <x:c r="D9" s="32" t="n">
        <x:v>92.08864684123978</x:v>
      </x:c>
      <x:c r="E9" s="32" t="n">
        <x:v>95.75777772124903</x:v>
      </x:c>
      <x:c r="F9" s="32" t="n">
        <x:f>D9*'Síntese'!$C$15+E9*'Síntese'!$C$16</x:f>
        <x:v>93.9233132121964</x:v>
      </x:c>
      <x:c r="G9" s="35" t="n">
        <x:v>64</x:v>
      </x:c>
      <x:c r="H9" s="35" t="n">
        <x:v>217</x:v>
      </x:c>
    </x:row>
    <x:row r="10">
      <x:c r="A10" s="26" t="str">
        <x:v>2023 T2</x:v>
      </x:c>
      <x:c r="B10" s="26" t="n">
        <x:v>2023</x:v>
      </x:c>
      <x:c r="C10" s="26" t="n">
        <x:v>2</x:v>
      </x:c>
      <x:c r="D10" s="32" t="n">
        <x:v>97.71049998175947</x:v>
      </x:c>
      <x:c r="E10" s="32" t="n">
        <x:v>89.97082921166086</x:v>
      </x:c>
      <x:c r="F10" s="32" t="n">
        <x:f>D10*'Síntese'!$C$15+E10*'Síntese'!$C$16</x:f>
        <x:v>93.84045169279246</x:v>
      </x:c>
      <x:c r="G10" s="35" t="n">
        <x:v>61</x:v>
      </x:c>
      <x:c r="H10" s="35" t="n">
        <x:v>217</x:v>
      </x:c>
    </x:row>
    <x:row r="11">
      <x:c r="A11" s="26" t="str">
        <x:v>2023 T3</x:v>
      </x:c>
      <x:c r="B11" s="26" t="n">
        <x:v>2023</x:v>
      </x:c>
      <x:c r="C11" s="26" t="n">
        <x:v>3</x:v>
      </x:c>
      <x:c r="D11" s="32" t="n">
        <x:v>92.81149897880303</x:v>
      </x:c>
      <x:c r="E11" s="32" t="n">
        <x:v>95.60762447952922</x:v>
      </x:c>
      <x:c r="F11" s="32" t="n">
        <x:f>D11*'Síntese'!$C$15+E11*'Síntese'!$C$16</x:f>
        <x:v>94.20963864536725</x:v>
      </x:c>
      <x:c r="G11" s="35" t="n">
        <x:v>56</x:v>
      </x:c>
      <x:c r="H11" s="35" t="n">
        <x:v>216</x:v>
      </x:c>
    </x:row>
    <x:row r="12">
      <x:c r="A12" s="26" t="str">
        <x:v>2023 T4</x:v>
      </x:c>
      <x:c r="B12" s="26" t="n">
        <x:v>2023</x:v>
      </x:c>
      <x:c r="C12" s="26" t="n">
        <x:v>4</x:v>
      </x:c>
      <x:c r="D12" s="32" t="n">
        <x:v>110.48668073011957</x:v>
      </x:c>
      <x:c r="E12" s="32" t="n">
        <x:v>88.37435067066397</x:v>
      </x:c>
      <x:c r="F12" s="32" t="n">
        <x:f>D12*'Síntese'!$C$15+E12*'Síntese'!$C$16</x:f>
        <x:v>99.42990743140473</x:v>
      </x:c>
      <x:c r="G12" s="35" t="n">
        <x:v>57</x:v>
      </x:c>
      <x:c r="H12" s="35" t="n">
        <x:v>211</x:v>
      </x:c>
    </x:row>
    <x:row r="13">
      <x:c r="A13" s="26" t="str">
        <x:v>2024 T1</x:v>
      </x:c>
      <x:c r="B13" s="26" t="n">
        <x:v>2024</x:v>
      </x:c>
      <x:c r="C13" s="26" t="n">
        <x:v>1</x:v>
      </x:c>
      <x:c r="D13" s="32" t="n">
        <x:v>105.88936259600776</x:v>
      </x:c>
      <x:c r="E13" s="32" t="n">
        <x:v>82.15624258338607</x:v>
      </x:c>
      <x:c r="F13" s="32" t="n">
        <x:f>D13*'Síntese'!$C$15+E13*'Síntese'!$C$16</x:f>
        <x:v>94.02214973579908</x:v>
      </x:c>
      <x:c r="G13" s="35" t="n">
        <x:v>56</x:v>
      </x:c>
      <x:c r="H13" s="35" t="n">
        <x:v>206</x:v>
      </x:c>
    </x:row>
    <x:row r="14">
      <x:c r="A14" s="26" t="str">
        <x:v>2024 T2</x:v>
      </x:c>
      <x:c r="B14" s="26" t="n">
        <x:v>2024</x:v>
      </x:c>
      <x:c r="C14" s="26" t="n">
        <x:v>2</x:v>
      </x:c>
      <x:c r="D14" s="32" t="n">
        <x:v>126.81421474255012</x:v>
      </x:c>
      <x:c r="E14" s="32" t="n">
        <x:v>86.08459368086253</x:v>
      </x:c>
      <x:c r="F14" s="32" t="n">
        <x:f>D14*'Síntese'!$C$15+E14*'Síntese'!$C$16</x:f>
        <x:v>106.44828381574264</x:v>
      </x:c>
      <x:c r="G14" s="35" t="n">
        <x:v>55</x:v>
      </x:c>
      <x:c r="H14" s="35" t="n">
        <x:v>209</x:v>
      </x:c>
    </x:row>
    <x:row r="15">
      <x:c r="A15" s="26" t="str">
        <x:v>2024 T3</x:v>
      </x:c>
      <x:c r="B15" s="26" t="n">
        <x:v>2024</x:v>
      </x:c>
      <x:c r="C15" s="26" t="n">
        <x:v>3</x:v>
      </x:c>
      <x:c r="D15" s="32" t="n">
        <x:v>96.46930750119719</x:v>
      </x:c>
      <x:c r="E15" s="32" t="n">
        <x:v>86.53966685763157</x:v>
      </x:c>
      <x:c r="F15" s="32" t="n">
        <x:f>D15*'Síntese'!$C$15+E15*'Síntese'!$C$16</x:f>
        <x:v>91.50421403350711</x:v>
      </x:c>
      <x:c r="G15" s="35" t="n">
        <x:v>54</x:v>
      </x:c>
      <x:c r="H15" s="35" t="n">
        <x:v>210</x:v>
      </x:c>
    </x:row>
    <x:row r="16">
      <x:c r="A16" s="26" t="str">
        <x:v>2024 T4</x:v>
      </x:c>
      <x:c r="B16" s="26" t="n">
        <x:v>2024</x:v>
      </x:c>
      <x:c r="C16" s="26" t="n">
        <x:v>4</x:v>
      </x:c>
      <x:c r="D16" s="32" t="n">
        <x:v>92.84412357204023</x:v>
      </x:c>
      <x:c r="E16" s="32" t="n">
        <x:v>82.27215078349492</x:v>
      </x:c>
      <x:c r="F16" s="32" t="n">
        <x:f>D16*'Síntese'!$C$15+E16*'Síntese'!$C$16</x:f>
        <x:v>87.55784636250017</x:v>
      </x:c>
      <x:c r="G16" s="35" t="n">
        <x:v>53</x:v>
      </x:c>
      <x:c r="H16" s="35" t="n">
        <x:v>209</x:v>
      </x:c>
    </x:row>
    <x:row r="17">
      <x:c r="A17" s="26" t="str">
        <x:v>2025 T1</x:v>
      </x:c>
      <x:c r="B17" s="26" t="n">
        <x:v>2025</x:v>
      </x:c>
      <x:c r="C17" s="26" t="n">
        <x:v>1</x:v>
      </x:c>
      <x:c r="D17" s="32" t="n">
        <x:v>91.03928867591816</x:v>
      </x:c>
      <x:c r="E17" s="32" t="n">
        <x:v>79.4249614641231</x:v>
      </x:c>
      <x:c r="F17" s="32" t="n">
        <x:f>D17*'Síntese'!$C$15+E17*'Síntese'!$C$16</x:f>
        <x:v>85.23180558152578</x:v>
      </x:c>
      <x:c r="G17" s="35" t="n">
        <x:v>46</x:v>
      </x:c>
      <x:c r="H17" s="35" t="n">
        <x:v>193</x:v>
      </x:c>
    </x:row>
    <x:row r="18">
      <x:c r="A18" s="26" t="str">
        <x:v>2025 T2</x:v>
      </x:c>
      <x:c r="B18" s="26" t="n">
        <x:v>2025</x:v>
      </x:c>
      <x:c r="C18" s="26" t="n">
        <x:v>2</x:v>
      </x:c>
      <x:c r="D18" s="32" t="n">
        <x:v>86.78826379265347</x:v>
      </x:c>
      <x:c r="E18" s="32" t="n">
        <x:v>82.0108837354925</x:v>
      </x:c>
      <x:c r="F18" s="32" t="n">
        <x:f>D18*'Síntese'!$C$15+E18*'Síntese'!$C$16</x:f>
        <x:v>84.39944234725168</x:v>
      </x:c>
      <x:c r="G18" s="35" t="n">
        <x:v>51</x:v>
      </x:c>
      <x:c r="H18" s="35" t="n">
        <x:v>209</x:v>
      </x:c>
    </x:row>
    <x:row r="19">
      <x:c r="A19" s="26" t="str">
        <x:v>2025 T3</x:v>
      </x:c>
      <x:c r="B19" s="26" t="n">
        <x:v>2025</x:v>
      </x:c>
      <x:c r="C19" s="26" t="n">
        <x:v>3</x:v>
      </x:c>
      <x:c r="D19" s="32" t="n">
        <x:v>91.00563477277278</x:v>
      </x:c>
      <x:c r="E19" s="32" t="n">
        <x:v>85.38877746067786</x:v>
      </x:c>
      <x:c r="F19" s="32" t="n">
        <x:f>D19*'Síntese'!$C$15+E19*'Síntese'!$C$16</x:f>
        <x:v>88.19705160744934</x:v>
      </x:c>
      <x:c r="G19" s="35" t="n">
        <x:v>46</x:v>
      </x:c>
      <x:c r="H19" s="35" t="n">
        <x:v>199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d86787ce3a84e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3" hidden="0" customWidth="1"/>
    <x:col min="4" max="4" width="16" hidden="0" customWidth="1"/>
    <x:col min="5" max="5" width="16" hidden="0" customWidth="1"/>
    <x:col min="6" max="6" width="14" hidden="0" customWidth="1"/>
    <x:col min="7" max="7" width="12" hidden="0" customWidth="1"/>
    <x:col min="8" max="8" width="12" hidden="0" customWidth="1"/>
  </x:cols>
  <x:sheetData>
    <x:row r="1" ht="34" customHeight="1">
      <x:c r="A1" s="25" t="str">
        <x:v>SÉRIE SEMESTRAL</x:v>
      </x:c>
      <x:c r="B1" s="25"/>
      <x:c r="C1" s="25"/>
      <x:c r="D1" s="25"/>
      <x:c r="E1" s="25"/>
      <x:c r="F1" s="25"/>
      <x:c r="G1" s="25"/>
      <x:c r="H1" s="25"/>
    </x:row>
    <x:row r="2" ht="25" customHeight="1">
      <x:c r="A2" s="27" t="str">
        <x:v>S1=Jan–Jun; em 2025, S2 corresponde apenas a Jul–Set.</x:v>
      </x:c>
      <x:c r="B2" s="27"/>
      <x:c r="C2" s="27"/>
      <x:c r="D2" s="27"/>
      <x:c r="E2" s="27"/>
      <x:c r="F2" s="27"/>
      <x:c r="G2" s="27"/>
      <x:c r="H2" s="27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8" t="str">
        <x:v>Período</x:v>
      </x:c>
      <x:c r="B4" s="29" t="str">
        <x:v>Ano</x:v>
      </x:c>
      <x:c r="C4" s="29" t="str">
        <x:v>N.º período</x:v>
      </x:c>
      <x:c r="D4" s="29" t="str">
        <x:v>Exportações</x:v>
      </x:c>
      <x:c r="E4" s="29" t="str">
        <x:v>Importações</x:v>
      </x:c>
      <x:c r="F4" s="29" t="str">
        <x:v>Global</x:v>
      </x:c>
      <x:c r="G4" s="29" t="str">
        <x:v>SH8 Exp.</x:v>
      </x:c>
      <x:c r="H4" s="30" t="str">
        <x:v>SH8 Imp.</x:v>
      </x:c>
    </x:row>
    <x:row r="5">
      <x:c r="A5" s="26" t="str">
        <x:v>2022 S1</x:v>
      </x:c>
      <x:c r="B5" s="26" t="n">
        <x:v>2022</x:v>
      </x:c>
      <x:c r="C5" s="26" t="n">
        <x:v>1</x:v>
      </x:c>
      <x:c r="D5" s="32" t="n">
        <x:v>100.13635217610846</x:v>
      </x:c>
      <x:c r="E5" s="32" t="n">
        <x:v>99.2245959579308</x:v>
      </x:c>
      <x:c r="F5" s="32" t="n">
        <x:f>D5*'Síntese'!$C$15+E5*'Síntese'!$C$16</x:f>
        <x:v>99.68044898630541</x:v>
      </x:c>
      <x:c r="G5" s="35" t="n">
        <x:v>98</x:v>
      </x:c>
      <x:c r="H5" s="35" t="n">
        <x:v>300</x:v>
      </x:c>
    </x:row>
    <x:row r="6">
      <x:c r="A6" s="26" t="str">
        <x:v>2022 S2</x:v>
      </x:c>
      <x:c r="B6" s="26" t="n">
        <x:v>2022</x:v>
      </x:c>
      <x:c r="C6" s="26" t="n">
        <x:v>2</x:v>
      </x:c>
      <x:c r="D6" s="32" t="n">
        <x:v>100.14459161714501</x:v>
      </x:c>
      <x:c r="E6" s="32" t="n">
        <x:v>101.82482677961596</x:v>
      </x:c>
      <x:c r="F6" s="32" t="n">
        <x:f>D6*'Síntese'!$C$15+E6*'Síntese'!$C$16</x:f>
        <x:v>100.98475541851819</x:v>
      </x:c>
      <x:c r="G6" s="35" t="n">
        <x:v>97</x:v>
      </x:c>
      <x:c r="H6" s="35" t="n">
        <x:v>300</x:v>
      </x:c>
    </x:row>
    <x:row r="7">
      <x:c r="A7" s="26" t="str">
        <x:v>2023 S1</x:v>
      </x:c>
      <x:c r="B7" s="26" t="n">
        <x:v>2023</x:v>
      </x:c>
      <x:c r="C7" s="26" t="n">
        <x:v>1</x:v>
      </x:c>
      <x:c r="D7" s="32" t="n">
        <x:v>95.06438464937106</x:v>
      </x:c>
      <x:c r="E7" s="32" t="n">
        <x:v>91.27711243796102</x:v>
      </x:c>
      <x:c r="F7" s="32" t="n">
        <x:f>D7*'Síntese'!$C$15+E7*'Síntese'!$C$16</x:f>
        <x:v>93.17064436286623</x:v>
      </x:c>
      <x:c r="G7" s="35" t="n">
        <x:v>64</x:v>
      </x:c>
      <x:c r="H7" s="35" t="n">
        <x:v>229</x:v>
      </x:c>
    </x:row>
    <x:row r="8">
      <x:c r="A8" s="26" t="str">
        <x:v>2023 S2</x:v>
      </x:c>
      <x:c r="B8" s="26" t="n">
        <x:v>2023</x:v>
      </x:c>
      <x:c r="C8" s="26" t="n">
        <x:v>2</x:v>
      </x:c>
      <x:c r="D8" s="32" t="n">
        <x:v>99.92673920291217</x:v>
      </x:c>
      <x:c r="E8" s="32" t="n">
        <x:v>90.35772888474654</x:v>
      </x:c>
      <x:c r="F8" s="32" t="n">
        <x:f>D8*'Síntese'!$C$15+E8*'Síntese'!$C$16</x:f>
        <x:v>95.1419708181902</x:v>
      </x:c>
      <x:c r="G8" s="35" t="n">
        <x:v>58</x:v>
      </x:c>
      <x:c r="H8" s="35" t="n">
        <x:v>220</x:v>
      </x:c>
    </x:row>
    <x:row r="9">
      <x:c r="A9" s="26" t="str">
        <x:v>2024 S1</x:v>
      </x:c>
      <x:c r="B9" s="26" t="n">
        <x:v>2024</x:v>
      </x:c>
      <x:c r="C9" s="26" t="n">
        <x:v>1</x:v>
      </x:c>
      <x:c r="D9" s="32" t="n">
        <x:v>125.53025025607413</x:v>
      </x:c>
      <x:c r="E9" s="32" t="n">
        <x:v>83.45250273900842</x:v>
      </x:c>
      <x:c r="F9" s="32" t="n">
        <x:f>D9*'Síntese'!$C$15+E9*'Síntese'!$C$16</x:f>
        <x:v>104.49021901713144</x:v>
      </x:c>
      <x:c r="G9" s="35" t="n">
        <x:v>58</x:v>
      </x:c>
      <x:c r="H9" s="35" t="n">
        <x:v>213</x:v>
      </x:c>
    </x:row>
    <x:row r="10">
      <x:c r="A10" s="26" t="str">
        <x:v>2024 S2</x:v>
      </x:c>
      <x:c r="B10" s="26" t="n">
        <x:v>2024</x:v>
      </x:c>
      <x:c r="C10" s="26" t="n">
        <x:v>2</x:v>
      </x:c>
      <x:c r="D10" s="32" t="n">
        <x:v>93.22199553215226</x:v>
      </x:c>
      <x:c r="E10" s="32" t="n">
        <x:v>82.36619629007657</x:v>
      </x:c>
      <x:c r="F10" s="32" t="n">
        <x:f>D10*'Síntese'!$C$15+E10*'Síntese'!$C$16</x:f>
        <x:v>87.79379728831027</x:v>
      </x:c>
      <x:c r="G10" s="35" t="n">
        <x:v>57</x:v>
      </x:c>
      <x:c r="H10" s="35" t="n">
        <x:v>215</x:v>
      </x:c>
    </x:row>
    <x:row r="11">
      <x:c r="A11" s="26" t="str">
        <x:v>2025 S1</x:v>
      </x:c>
      <x:c r="B11" s="26" t="n">
        <x:v>2025</x:v>
      </x:c>
      <x:c r="C11" s="26" t="n">
        <x:v>1</x:v>
      </x:c>
      <x:c r="D11" s="32" t="n">
        <x:v>90.24875111847906</x:v>
      </x:c>
      <x:c r="E11" s="32" t="n">
        <x:v>79.74005916862664</x:v>
      </x:c>
      <x:c r="F11" s="32" t="n">
        <x:f>D11*'Síntese'!$C$15+E11*'Síntese'!$C$16</x:f>
        <x:v>84.99411606902338</x:v>
      </x:c>
      <x:c r="G11" s="35" t="n">
        <x:v>52</x:v>
      </x:c>
      <x:c r="H11" s="35" t="n">
        <x:v>209</x:v>
      </x:c>
    </x:row>
    <x:row r="12">
      <x:c r="A12" s="26" t="str">
        <x:v>2025 S2</x:v>
      </x:c>
      <x:c r="B12" s="26" t="n">
        <x:v>2025</x:v>
      </x:c>
      <x:c r="C12" s="26" t="n">
        <x:v>2</x:v>
      </x:c>
      <x:c r="D12" s="32" t="n">
        <x:v>91.00563477277278</x:v>
      </x:c>
      <x:c r="E12" s="32" t="n">
        <x:v>85.38877746067786</x:v>
      </x:c>
      <x:c r="F12" s="32" t="n">
        <x:f>D12*'Síntese'!$C$15+E12*'Síntese'!$C$16</x:f>
        <x:v>88.19705160744934</x:v>
      </x:c>
      <x:c r="G12" s="35" t="n">
        <x:v>46</x:v>
      </x:c>
      <x:c r="H12" s="35" t="n">
        <x:v>199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408890ec91041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3" hidden="0" customWidth="1"/>
    <x:col min="4" max="4" width="16" hidden="0" customWidth="1"/>
    <x:col min="5" max="5" width="16" hidden="0" customWidth="1"/>
    <x:col min="6" max="6" width="14" hidden="0" customWidth="1"/>
    <x:col min="7" max="7" width="12" hidden="0" customWidth="1"/>
    <x:col min="8" max="8" width="12" hidden="0" customWidth="1"/>
  </x:cols>
  <x:sheetData>
    <x:row r="1" ht="34" customHeight="1">
      <x:c r="A1" s="25" t="str">
        <x:v>SÉRIE ANUAL</x:v>
      </x:c>
      <x:c r="B1" s="25"/>
      <x:c r="C1" s="25"/>
      <x:c r="D1" s="25"/>
      <x:c r="E1" s="25"/>
      <x:c r="F1" s="25"/>
      <x:c r="G1" s="25"/>
      <x:c r="H1" s="25"/>
    </x:row>
    <x:row r="2" ht="25" customHeight="1">
      <x:c r="A2" s="27" t="str">
        <x:v>2025 corresponde a Janeiro–Setembro; 2022–2024 cobrem doze meses.</x:v>
      </x:c>
      <x:c r="B2" s="27"/>
      <x:c r="C2" s="27"/>
      <x:c r="D2" s="27"/>
      <x:c r="E2" s="27"/>
      <x:c r="F2" s="27"/>
      <x:c r="G2" s="27"/>
      <x:c r="H2" s="27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8" t="str">
        <x:v>Período</x:v>
      </x:c>
      <x:c r="B4" s="29" t="str">
        <x:v>Ano</x:v>
      </x:c>
      <x:c r="C4" s="29" t="str">
        <x:v>N.º período</x:v>
      </x:c>
      <x:c r="D4" s="29" t="str">
        <x:v>Exportações</x:v>
      </x:c>
      <x:c r="E4" s="29" t="str">
        <x:v>Importações</x:v>
      </x:c>
      <x:c r="F4" s="29" t="str">
        <x:v>Global</x:v>
      </x:c>
      <x:c r="G4" s="29" t="str">
        <x:v>SH8 Exp.</x:v>
      </x:c>
      <x:c r="H4" s="30" t="str">
        <x:v>SH8 Imp.</x:v>
      </x:c>
    </x:row>
    <x:row r="5">
      <x:c r="A5" s="26" t="str">
        <x:v>2022</x:v>
      </x:c>
      <x:c r="B5" s="26" t="n">
        <x:v>2022</x:v>
      </x:c>
      <x:c r="C5" s="26" t="n">
        <x:v>1</x:v>
      </x:c>
      <x:c r="D5" s="32" t="n">
        <x:v>100.00000000000001</x:v>
      </x:c>
      <x:c r="E5" s="32" t="n">
        <x:v>100</x:v>
      </x:c>
      <x:c r="F5" s="32" t="n">
        <x:f>D5*'Síntese'!$C$15+E5*'Síntese'!$C$16</x:f>
        <x:v>100</x:v>
      </x:c>
      <x:c r="G5" s="35" t="n">
        <x:v>98</x:v>
      </x:c>
      <x:c r="H5" s="35" t="n">
        <x:v>300</x:v>
      </x:c>
    </x:row>
    <x:row r="6">
      <x:c r="A6" s="26" t="str">
        <x:v>2023</x:v>
      </x:c>
      <x:c r="B6" s="26" t="n">
        <x:v>2023</x:v>
      </x:c>
      <x:c r="C6" s="26" t="n">
        <x:v>1</x:v>
      </x:c>
      <x:c r="D6" s="32" t="n">
        <x:v>95.0274039061299</x:v>
      </x:c>
      <x:c r="E6" s="32" t="n">
        <x:v>88.95958556705207</x:v>
      </x:c>
      <x:c r="F6" s="32" t="n">
        <x:f>D6*'Síntese'!$C$15+E6*'Síntese'!$C$16</x:f>
        <x:v>91.99332782221767</x:v>
      </x:c>
      <x:c r="G6" s="35" t="n">
        <x:v>65</x:v>
      </x:c>
      <x:c r="H6" s="35" t="n">
        <x:v>231</x:v>
      </x:c>
    </x:row>
    <x:row r="7">
      <x:c r="A7" s="26" t="str">
        <x:v>2024</x:v>
      </x:c>
      <x:c r="B7" s="26" t="n">
        <x:v>2024</x:v>
      </x:c>
      <x:c r="C7" s="26" t="n">
        <x:v>1</x:v>
      </x:c>
      <x:c r="D7" s="32" t="n">
        <x:v>110.7732245539857</x:v>
      </x:c>
      <x:c r="E7" s="32" t="n">
        <x:v>82.81391655725996</x:v>
      </x:c>
      <x:c r="F7" s="32" t="n">
        <x:f>D7*'Síntese'!$C$15+E7*'Síntese'!$C$16</x:f>
        <x:v>96.7928014471703</x:v>
      </x:c>
      <x:c r="G7" s="35" t="n">
        <x:v>59</x:v>
      </x:c>
      <x:c r="H7" s="35" t="n">
        <x:v>215</x:v>
      </x:c>
    </x:row>
    <x:row r="8">
      <x:c r="A8" s="26" t="str">
        <x:v>2025 Jan-Set</x:v>
      </x:c>
      <x:c r="B8" s="26" t="n">
        <x:v>2025</x:v>
      </x:c>
      <x:c r="C8" s="26" t="n">
        <x:v>1</x:v>
      </x:c>
      <x:c r="D8" s="32" t="n">
        <x:v>88.1686919454075</x:v>
      </x:c>
      <x:c r="E8" s="32" t="n">
        <x:v>80.0292683254542</x:v>
      </x:c>
      <x:c r="F8" s="32" t="n">
        <x:f>D8*'Síntese'!$C$15+E8*'Síntese'!$C$16</x:f>
        <x:v>84.0987562350573</x:v>
      </x:c>
      <x:c r="G8" s="35" t="n">
        <x:v>55</x:v>
      </x:c>
      <x:c r="H8" s="35" t="n">
        <x:v>211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245576895c141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8" hidden="0" customWidth="1"/>
    <x:col min="6" max="6" width="19" hidden="0" customWidth="1"/>
    <x:col min="7" max="7" width="14" hidden="0" customWidth="1"/>
  </x:cols>
  <x:sheetData>
    <x:row r="1" ht="34" customHeight="1">
      <x:c r="A1" s="25" t="str">
        <x:v>PREVISÃO INDICATIVA DO ÍNDICE EM 2026</x:v>
      </x:c>
      <x:c r="B1" s="25"/>
      <x:c r="C1" s="25"/>
      <x:c r="D1" s="25"/>
      <x:c r="E1" s="25"/>
      <x:c r="F1" s="25"/>
      <x:c r="G1" s="25"/>
    </x:row>
    <x:row r="2" ht="25" customHeight="1">
      <x:c r="A2" s="27" t="str">
        <x:v>Cenários estatísticos para planeamento; não constituem previsão oficial</x:v>
      </x:c>
      <x:c r="B2" s="27"/>
      <x:c r="C2" s="27"/>
      <x:c r="D2" s="27"/>
      <x:c r="E2" s="27"/>
      <x:c r="F2" s="27"/>
      <x:c r="G2" s="27"/>
    </x:row>
    <x:row r="3">
      <x:c r="A3" s="26"/>
      <x:c r="B3" s="26"/>
      <x:c r="C3" s="26"/>
      <x:c r="D3" s="26"/>
      <x:c r="E3" s="26"/>
      <x:c r="F3" s="26"/>
      <x:c r="G3" s="26"/>
    </x:row>
    <x:row r="4">
      <x:c r="A4" s="28" t="str">
        <x:v>Fluxo</x:v>
      </x:c>
      <x:c r="B4" s="29" t="str">
        <x:v>2022</x:v>
      </x:c>
      <x:c r="C4" s="29" t="str">
        <x:v>2023</x:v>
      </x:c>
      <x:c r="D4" s="29" t="str">
        <x:v>2024</x:v>
      </x:c>
      <x:c r="E4" s="29" t="str">
        <x:v>2025 Jan–Set</x:v>
      </x:c>
      <x:c r="F4" s="29" t="str">
        <x:v>Previsão 2026</x:v>
      </x:c>
      <x:c r="G4" s="30" t="str">
        <x:v>RMSE</x:v>
      </x:c>
    </x:row>
    <x:row r="5">
      <x:c r="A5" s="26" t="str">
        <x:v>Exportações</x:v>
      </x:c>
      <x:c r="B5" s="32" t="n">
        <x:v>100.00000000000001</x:v>
      </x:c>
      <x:c r="C5" s="32" t="n">
        <x:v>95.0274039061299</x:v>
      </x:c>
      <x:c r="D5" s="32" t="n">
        <x:v>110.7732245539857</x:v>
      </x:c>
      <x:c r="E5" s="32" t="n">
        <x:v>88.1686919454075</x:v>
      </x:c>
      <x:c r="F5" s="32" t="n">
        <x:v>93.55530422240054</x:v>
      </x:c>
      <x:c r="G5" s="32" t="n">
        <x:v>7.940045273319529</x:v>
      </x:c>
    </x:row>
    <x:row r="6">
      <x:c r="A6" s="26" t="str">
        <x:v>Importações</x:v>
      </x:c>
      <x:c r="B6" s="32" t="n">
        <x:v>100</x:v>
      </x:c>
      <x:c r="C6" s="32" t="n">
        <x:v>88.95958556705207</x:v>
      </x:c>
      <x:c r="D6" s="32" t="n">
        <x:v>82.81391655725996</x:v>
      </x:c>
      <x:c r="E6" s="32" t="n">
        <x:v>80.0292683254542</x:v>
      </x:c>
      <x:c r="F6" s="32" t="n">
        <x:v>71.43622660408437</x:v>
      </x:c>
      <x:c r="G6" s="32" t="n">
        <x:v>2.0710525377413984</x:v>
      </x:c>
    </x:row>
    <x:row r="7">
      <x:c r="A7" s="26" t="str">
        <x:v>Global</x:v>
      </x:c>
      <x:c r="B7" s="32" t="n">
        <x:v>100</x:v>
      </x:c>
      <x:c r="C7" s="32" t="n">
        <x:v>91.99332782221767</x:v>
      </x:c>
      <x:c r="D7" s="32" t="n">
        <x:v>96.7928014471703</x:v>
      </x:c>
      <x:c r="E7" s="32" t="n">
        <x:v>84.0987562350573</x:v>
      </x:c>
      <x:c r="F7" s="32" t="n">
        <x:v>82.49515695864284</x:v>
      </x:c>
      <x:c r="G7" s="32" t="n">
        <x:v>3.584562398500437</x:v>
      </x:c>
    </x:row>
    <x:row r="8">
      <x:c r="A8" s="26"/>
      <x:c r="B8" s="26"/>
      <x:c r="C8" s="26"/>
      <x:c r="D8" s="26"/>
      <x:c r="E8" s="26"/>
      <x:c r="F8" s="26"/>
      <x:c r="G8" s="26"/>
    </x:row>
    <x:row r="9">
      <x:c r="A9" s="26"/>
      <x:c r="B9" s="26"/>
      <x:c r="C9" s="26"/>
      <x:c r="D9" s="26"/>
      <x:c r="E9" s="26"/>
      <x:c r="F9" s="26"/>
      <x:c r="G9" s="26"/>
    </x:row>
    <x:row r="10">
      <x:c r="A10" s="28" t="str">
        <x:v>Fluxo</x:v>
      </x:c>
      <x:c r="B10" s="29" t="str">
        <x:v>Inferior</x:v>
      </x:c>
      <x:c r="C10" s="29" t="str">
        <x:v>Central</x:v>
      </x:c>
      <x:c r="D10" s="30" t="str">
        <x:v>Superior</x:v>
      </x:c>
      <x:c r="E10" s="26"/>
      <x:c r="F10" s="26"/>
      <x:c r="G10" s="26"/>
    </x:row>
    <x:row r="11">
      <x:c r="A11" s="26" t="str">
        <x:v>Exportações</x:v>
      </x:c>
      <x:c r="B11" s="32" t="n">
        <x:v>85.61525894908101</x:v>
      </x:c>
      <x:c r="C11" s="32" t="n">
        <x:v>93.55530422240054</x:v>
      </x:c>
      <x:c r="D11" s="32" t="n">
        <x:v>101.49534949572006</x:v>
      </x:c>
      <x:c r="E11" s="26"/>
      <x:c r="F11" s="26"/>
      <x:c r="G11" s="26"/>
    </x:row>
    <x:row r="12">
      <x:c r="A12" s="26" t="str">
        <x:v>Importações</x:v>
      </x:c>
      <x:c r="B12" s="32" t="n">
        <x:v>69.36517406634297</x:v>
      </x:c>
      <x:c r="C12" s="32" t="n">
        <x:v>71.43622660408437</x:v>
      </x:c>
      <x:c r="D12" s="32" t="n">
        <x:v>73.50727914182576</x:v>
      </x:c>
      <x:c r="E12" s="26"/>
      <x:c r="F12" s="26"/>
      <x:c r="G12" s="26"/>
    </x:row>
    <x:row r="13">
      <x:c r="A13" s="26" t="str">
        <x:v>Global</x:v>
      </x:c>
      <x:c r="B13" s="32" t="n">
        <x:v>78.9105945601424</x:v>
      </x:c>
      <x:c r="C13" s="32" t="n">
        <x:v>82.49515695864284</x:v>
      </x:c>
      <x:c r="D13" s="32" t="n">
        <x:v>86.07971935714328</x:v>
      </x:c>
      <x:c r="E13" s="26"/>
      <x:c r="F13" s="26"/>
      <x:c r="G13" s="26"/>
    </x:row>
    <x:row r="14">
      <x:c r="A14" s="26" t="str">
        <x:v>Método</x:v>
      </x:c>
      <x:c r="B14" s="26" t="str">
        <x:v>Tendência linear OLS; amplitude central ± RMSE</x:v>
      </x:c>
      <x:c r="C14" s="26" t="str"/>
      <x:c r="D14" s="26" t="str"/>
      <x:c r="E14" s="26"/>
      <x:c r="F14" s="26"/>
      <x:c r="G14" s="26"/>
    </x:row>
    <x:row r="15">
      <x:c r="A15" s="26"/>
      <x:c r="B15" s="26"/>
      <x:c r="C15" s="26"/>
      <x:c r="D15" s="26"/>
      <x:c r="E15" s="26"/>
      <x:c r="F15" s="26"/>
      <x:c r="G15" s="26"/>
    </x:row>
    <x:row r="16">
      <x:c r="A16" s="33" t="str">
        <x:v>Limitação</x:v>
      </x:c>
      <x:c r="B16" s="33" t="str"/>
      <x:c r="C16" s="33" t="str"/>
      <x:c r="D16" s="33" t="str"/>
      <x:c r="E16" s="33" t="str"/>
      <x:c r="F16" s="33" t="str"/>
      <x:c r="G16" s="33" t="str"/>
    </x:row>
    <x:row r="17">
      <x:c r="A17" s="31" t="str">
        <x:v>Cobertura</x:v>
      </x:c>
      <x:c r="B17" s="34" t="str">
        <x:v>A observação de 2025 cobre apenas Janeiro–Setembro. A projecção deve ser revista quando Outubro–Dezembro estiver disponível.</x:v>
      </x:c>
      <x:c r="C17" s="34" t="str"/>
      <x:c r="D17" s="34" t="str"/>
      <x:c r="E17" s="34" t="str"/>
      <x:c r="F17" s="34" t="str"/>
      <x:c r="G17" s="34" t="str"/>
    </x:row>
    <x:row r="18">
      <x:c r="A18" s="31" t="str">
        <x:v>Uso</x:v>
      </x:c>
      <x:c r="B18" s="34" t="str">
        <x:v>Cenário de planeamento e comunicação técnica; não substitui validação institucional.</x:v>
      </x:c>
      <x:c r="C18" s="34" t="str"/>
      <x:c r="D18" s="34" t="str"/>
      <x:c r="E18" s="34" t="str"/>
      <x:c r="F18" s="34" t="str"/>
      <x:c r="G18" s="34" t="str"/>
    </x:row>
  </x:sheetData>
  <x:mergeCells>
    <x:mergeCell ref="A1:G1"/>
    <x:mergeCell ref="A2:G2"/>
    <x:mergeCell ref="B14:D14"/>
    <x:mergeCell ref="A16:G16"/>
    <x:mergeCell ref="B17:G17"/>
    <x:mergeCell ref="B18:G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</x:cols>
  <x:sheetData>
    <x:row r="1" ht="34" customHeight="1">
      <x:c r="A1" s="25" t="str">
        <x:v>IVU POR SECÇÃO SH — EXPORTAÇÕES</x:v>
      </x:c>
      <x:c r="B1" s="25"/>
      <x:c r="C1" s="25"/>
      <x:c r="D1" s="25"/>
      <x:c r="E1" s="25"/>
      <x:c r="F1" s="25"/>
    </x:row>
    <x:row r="2" ht="25" customHeight="1">
      <x:c r="A2" s="27" t="str">
        <x:v>Ponderação pelo valor elegível dentro de cada Secção · N/D = cobertura insuficiente</x:v>
      </x:c>
      <x:c r="B2" s="27"/>
      <x:c r="C2" s="27"/>
      <x:c r="D2" s="27"/>
      <x:c r="E2" s="27"/>
      <x:c r="F2" s="27"/>
    </x:row>
    <x:row r="3">
      <x:c r="A3" s="26"/>
      <x:c r="B3" s="26"/>
      <x:c r="C3" s="26"/>
      <x:c r="D3" s="26"/>
      <x:c r="E3" s="26"/>
      <x:c r="F3" s="26"/>
    </x:row>
    <x:row r="4">
      <x:c r="A4" s="28" t="str">
        <x:v>Secção</x:v>
      </x:c>
      <x:c r="B4" s="29" t="str">
        <x:v>Grupo de produtos</x:v>
      </x:c>
      <x:c r="C4" s="29" t="n">
        <x:v>2022</x:v>
      </x:c>
      <x:c r="D4" s="29" t="n">
        <x:v>2023</x:v>
      </x:c>
      <x:c r="E4" s="29" t="n">
        <x:v>2024</x:v>
      </x:c>
      <x:c r="F4" s="30" t="str">
        <x:v>2025 Jan–Set</x:v>
      </x:c>
    </x:row>
    <x:row r="5">
      <x:c r="A5" s="38" t="str">
        <x:v>I</x:v>
      </x:c>
      <x:c r="B5" s="34" t="str">
        <x:v>Animais vivos e produtos do reino animal</x:v>
      </x:c>
      <x:c r="C5" s="32" t="n">
        <x:v>99.99999999999999</x:v>
      </x:c>
      <x:c r="D5" s="32" t="n">
        <x:v>99.4487077432008</x:v>
      </x:c>
      <x:c r="E5" s="32" t="n">
        <x:v>96.18324043681548</x:v>
      </x:c>
      <x:c r="F5" s="32" t="n">
        <x:v>108.38886367915741</x:v>
      </x:c>
    </x:row>
    <x:row r="6">
      <x:c r="A6" s="38" t="str">
        <x:v>II</x:v>
      </x:c>
      <x:c r="B6" s="34" t="str">
        <x:v>Produtos do reino vegetal</x:v>
      </x:c>
      <x:c r="C6" s="32" t="n">
        <x:v>100</x:v>
      </x:c>
      <x:c r="D6" s="32" t="n">
        <x:v>106.45907299958667</x:v>
      </x:c>
      <x:c r="E6" s="32" t="n">
        <x:v>130.51200428484242</x:v>
      </x:c>
      <x:c r="F6" s="32" t="n">
        <x:v>119.85790338688224</x:v>
      </x:c>
    </x:row>
    <x:row r="7">
      <x:c r="A7" s="38" t="str">
        <x:v>III</x:v>
      </x:c>
      <x:c r="B7" s="34" t="str">
        <x:v>Gorduras e óleos animais ou vegetais</x:v>
      </x:c>
      <x:c r="C7" s="32" t="n">
        <x:v>100</x:v>
      </x:c>
      <x:c r="D7" s="32" t="n">
        <x:v>83.36652318952629</x:v>
      </x:c>
      <x:c r="E7" s="32" t="n">
        <x:v>67.30164932873592</x:v>
      </x:c>
      <x:c r="F7" s="32" t="n">
        <x:v>102.19640872625993</x:v>
      </x:c>
    </x:row>
    <x:row r="8">
      <x:c r="A8" s="38" t="str">
        <x:v>IV</x:v>
      </x:c>
      <x:c r="B8" s="34" t="str">
        <x:v>Produtos alimentares, bebidas e tabaco</x:v>
      </x:c>
      <x:c r="C8" s="32" t="n">
        <x:v>100</x:v>
      </x:c>
      <x:c r="D8" s="32" t="n">
        <x:v>96.03712724103626</x:v>
      </x:c>
      <x:c r="E8" s="32" t="n">
        <x:v>85.86645206774124</x:v>
      </x:c>
      <x:c r="F8" s="32" t="n">
        <x:v>94.98687515789308</x:v>
      </x:c>
    </x:row>
    <x:row r="9">
      <x:c r="A9" s="38" t="str">
        <x:v>V</x:v>
      </x:c>
      <x:c r="B9" s="34" t="str">
        <x:v>Produtos minerais</x:v>
      </x:c>
      <x:c r="C9" s="32" t="n">
        <x:v>100</x:v>
      </x:c>
      <x:c r="D9" s="32" t="n">
        <x:v>90.28284747712179</x:v>
      </x:c>
      <x:c r="E9" s="32" t="n">
        <x:v>58.65885481547782</x:v>
      </x:c>
      <x:c r="F9" s="32" t="n">
        <x:v>71.1915464045776</x:v>
      </x:c>
    </x:row>
    <x:row r="10">
      <x:c r="A10" s="38" t="str">
        <x:v>VI</x:v>
      </x:c>
      <x:c r="B10" s="34" t="str">
        <x:v>Indústrias químicas</x:v>
      </x:c>
      <x:c r="C10" s="32" t="n">
        <x:v>99.99999999999999</x:v>
      </x:c>
      <x:c r="D10" s="32" t="n">
        <x:v>83.01228815164507</x:v>
      </x:c>
      <x:c r="E10" s="32" t="n">
        <x:v>80.97903219459168</x:v>
      </x:c>
      <x:c r="F10" s="32" t="n">
        <x:v>94.26933837608281</x:v>
      </x:c>
    </x:row>
    <x:row r="11">
      <x:c r="A11" s="38" t="str">
        <x:v>VII</x:v>
      </x:c>
      <x:c r="B11" s="34" t="str">
        <x:v>Plásticos e borracha</x:v>
      </x:c>
      <x:c r="C11" s="32" t="n">
        <x:v>100</x:v>
      </x:c>
      <x:c r="D11" s="32" t="n">
        <x:v>51.86446939913824</x:v>
      </x:c>
      <x:c r="E11" s="32"/>
      <x:c r="F11" s="32" t="n">
        <x:v>29.075114466845793</x:v>
      </x:c>
    </x:row>
    <x:row r="12">
      <x:c r="A12" s="38" t="str">
        <x:v>VIII</x:v>
      </x:c>
      <x:c r="B12" s="34" t="str">
        <x:v>Peles e couros</x:v>
      </x:c>
      <x:c r="C12" s="32"/>
      <x:c r="D12" s="32"/>
      <x:c r="E12" s="32"/>
      <x:c r="F12" s="32"/>
    </x:row>
    <x:row r="13">
      <x:c r="A13" s="38" t="str">
        <x:v>IX</x:v>
      </x:c>
      <x:c r="B13" s="34" t="str">
        <x:v>Madeira, cortiça e cestaria</x:v>
      </x:c>
      <x:c r="C13" s="32" t="n">
        <x:v>100</x:v>
      </x:c>
      <x:c r="D13" s="32"/>
      <x:c r="E13" s="32" t="n">
        <x:v>195.27479266461918</x:v>
      </x:c>
      <x:c r="F13" s="32"/>
    </x:row>
    <x:row r="14">
      <x:c r="A14" s="38" t="str">
        <x:v>X</x:v>
      </x:c>
      <x:c r="B14" s="34" t="str">
        <x:v>Pastas, papel e cartão</x:v>
      </x:c>
      <x:c r="C14" s="32" t="n">
        <x:v>100</x:v>
      </x:c>
      <x:c r="D14" s="32" t="n">
        <x:v>94.04608536852734</x:v>
      </x:c>
      <x:c r="E14" s="32" t="n">
        <x:v>85.23387797760944</x:v>
      </x:c>
      <x:c r="F14" s="32" t="n">
        <x:v>142.93248505181955</x:v>
      </x:c>
    </x:row>
    <x:row r="15">
      <x:c r="A15" s="38" t="str">
        <x:v>XI</x:v>
      </x:c>
      <x:c r="B15" s="34" t="str">
        <x:v>Matérias têxteis</x:v>
      </x:c>
      <x:c r="C15" s="32" t="n">
        <x:v>100</x:v>
      </x:c>
      <x:c r="D15" s="32" t="n">
        <x:v>77.88115245228161</x:v>
      </x:c>
      <x:c r="E15" s="32" t="n">
        <x:v>71.51647758306643</x:v>
      </x:c>
      <x:c r="F15" s="32" t="n">
        <x:v>129.82624302101053</x:v>
      </x:c>
    </x:row>
    <x:row r="16">
      <x:c r="A16" s="38" t="str">
        <x:v>XII</x:v>
      </x:c>
      <x:c r="B16" s="34" t="str">
        <x:v>Calçado e artigos semelhantes</x:v>
      </x:c>
      <x:c r="C16" s="32" t="n">
        <x:v>100</x:v>
      </x:c>
      <x:c r="D16" s="32"/>
      <x:c r="E16" s="32"/>
      <x:c r="F16" s="32"/>
    </x:row>
    <x:row r="17">
      <x:c r="A17" s="38" t="str">
        <x:v>XIII</x:v>
      </x:c>
      <x:c r="B17" s="34" t="str">
        <x:v>Pedra, cerâmica e vidro</x:v>
      </x:c>
      <x:c r="C17" s="32" t="n">
        <x:v>100</x:v>
      </x:c>
      <x:c r="D17" s="32" t="n">
        <x:v>21.31978834373647</x:v>
      </x:c>
      <x:c r="E17" s="32" t="n">
        <x:v>21.422702283835623</x:v>
      </x:c>
      <x:c r="F17" s="32" t="n">
        <x:v>20.655032368304</x:v>
      </x:c>
    </x:row>
    <x:row r="18">
      <x:c r="A18" s="38" t="str">
        <x:v>XIV</x:v>
      </x:c>
      <x:c r="B18" s="34" t="str">
        <x:v>Metais e pedras preciosas</x:v>
      </x:c>
      <x:c r="C18" s="32" t="n">
        <x:v>100</x:v>
      </x:c>
      <x:c r="D18" s="32"/>
      <x:c r="E18" s="32"/>
      <x:c r="F18" s="32"/>
    </x:row>
    <x:row r="19">
      <x:c r="A19" s="38" t="str">
        <x:v>XV</x:v>
      </x:c>
      <x:c r="B19" s="34" t="str">
        <x:v>Metais comuns</x:v>
      </x:c>
      <x:c r="C19" s="32" t="n">
        <x:v>100</x:v>
      </x:c>
      <x:c r="D19" s="32" t="n">
        <x:v>84.98022136179014</x:v>
      </x:c>
      <x:c r="E19" s="32" t="n">
        <x:v>119.56124444338845</x:v>
      </x:c>
      <x:c r="F19" s="32" t="n">
        <x:v>77.14990281117885</x:v>
      </x:c>
    </x:row>
    <x:row r="20">
      <x:c r="A20" s="38" t="str">
        <x:v>XVI</x:v>
      </x:c>
      <x:c r="B20" s="34" t="str">
        <x:v>Máquinas e material eléctrico</x:v>
      </x:c>
      <x:c r="C20" s="32" t="n">
        <x:v>100</x:v>
      </x:c>
      <x:c r="D20" s="32"/>
      <x:c r="E20" s="32"/>
      <x:c r="F20" s="32"/>
    </x:row>
    <x:row r="21">
      <x:c r="A21" s="38" t="str">
        <x:v>XVII</x:v>
      </x:c>
      <x:c r="B21" s="34" t="str">
        <x:v>Material de transporte</x:v>
      </x:c>
      <x:c r="C21" s="32" t="n">
        <x:v>100</x:v>
      </x:c>
      <x:c r="D21" s="32"/>
      <x:c r="E21" s="32"/>
      <x:c r="F21" s="32"/>
    </x:row>
    <x:row r="22">
      <x:c r="A22" s="38" t="str">
        <x:v>XVIII</x:v>
      </x:c>
      <x:c r="B22" s="34" t="str">
        <x:v>Instrumentos de precisão</x:v>
      </x:c>
      <x:c r="C22" s="32"/>
      <x:c r="D22" s="32"/>
      <x:c r="E22" s="32"/>
      <x:c r="F22" s="32"/>
    </x:row>
    <x:row r="23">
      <x:c r="A23" s="38" t="str">
        <x:v>XIX</x:v>
      </x:c>
      <x:c r="B23" s="34" t="str">
        <x:v>Armas e munições</x:v>
      </x:c>
      <x:c r="C23" s="32"/>
      <x:c r="D23" s="32"/>
      <x:c r="E23" s="32"/>
      <x:c r="F23" s="32"/>
    </x:row>
    <x:row r="24">
      <x:c r="A24" s="38" t="str">
        <x:v>XX</x:v>
      </x:c>
      <x:c r="B24" s="34" t="str">
        <x:v>Mercadorias diversas</x:v>
      </x:c>
      <x:c r="C24" s="32"/>
      <x:c r="D24" s="32"/>
      <x:c r="E24" s="32"/>
      <x:c r="F24" s="32"/>
    </x:row>
    <x:row r="25">
      <x:c r="A25" s="38" t="str">
        <x:v>XXI</x:v>
      </x:c>
      <x:c r="B25" s="34" t="str">
        <x:v>Objectos de arte</x:v>
      </x:c>
      <x:c r="C25" s="32"/>
      <x:c r="D25" s="32"/>
      <x:c r="E25" s="32"/>
      <x:c r="F25" s="32"/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</x:cols>
  <x:sheetData>
    <x:row r="1" ht="34" customHeight="1">
      <x:c r="A1" s="25" t="str">
        <x:v>IVU POR SECÇÃO SH — IMPORTAÇÕES</x:v>
      </x:c>
      <x:c r="B1" s="25"/>
      <x:c r="C1" s="25"/>
      <x:c r="D1" s="25"/>
      <x:c r="E1" s="25"/>
      <x:c r="F1" s="25"/>
    </x:row>
    <x:row r="2" ht="25" customHeight="1">
      <x:c r="A2" s="27" t="str">
        <x:v>Ponderação pelo valor elegível dentro de cada Secção · N/D = cobertura insuficiente</x:v>
      </x:c>
      <x:c r="B2" s="27"/>
      <x:c r="C2" s="27"/>
      <x:c r="D2" s="27"/>
      <x:c r="E2" s="27"/>
      <x:c r="F2" s="27"/>
    </x:row>
    <x:row r="3">
      <x:c r="A3" s="26"/>
      <x:c r="B3" s="26"/>
      <x:c r="C3" s="26"/>
      <x:c r="D3" s="26"/>
      <x:c r="E3" s="26"/>
      <x:c r="F3" s="26"/>
    </x:row>
    <x:row r="4">
      <x:c r="A4" s="28" t="str">
        <x:v>Secção</x:v>
      </x:c>
      <x:c r="B4" s="29" t="str">
        <x:v>Grupo de produtos</x:v>
      </x:c>
      <x:c r="C4" s="29" t="n">
        <x:v>2022</x:v>
      </x:c>
      <x:c r="D4" s="29" t="n">
        <x:v>2023</x:v>
      </x:c>
      <x:c r="E4" s="29" t="n">
        <x:v>2024</x:v>
      </x:c>
      <x:c r="F4" s="30" t="str">
        <x:v>2025 Jan–Set</x:v>
      </x:c>
    </x:row>
    <x:row r="5">
      <x:c r="A5" s="38" t="str">
        <x:v>I</x:v>
      </x:c>
      <x:c r="B5" s="34" t="str">
        <x:v>Animais vivos e produtos do reino animal</x:v>
      </x:c>
      <x:c r="C5" s="32" t="n">
        <x:v>99.99999999999999</x:v>
      </x:c>
      <x:c r="D5" s="32" t="n">
        <x:v>106.66587969339359</x:v>
      </x:c>
      <x:c r="E5" s="32" t="n">
        <x:v>84.77425415709628</x:v>
      </x:c>
      <x:c r="F5" s="32" t="n">
        <x:v>85.59257025946944</x:v>
      </x:c>
    </x:row>
    <x:row r="6">
      <x:c r="A6" s="38" t="str">
        <x:v>II</x:v>
      </x:c>
      <x:c r="B6" s="34" t="str">
        <x:v>Produtos do reino vegetal</x:v>
      </x:c>
      <x:c r="C6" s="32" t="n">
        <x:v>100</x:v>
      </x:c>
      <x:c r="D6" s="32" t="n">
        <x:v>78.95859794313166</x:v>
      </x:c>
      <x:c r="E6" s="32" t="n">
        <x:v>88.73113070600498</x:v>
      </x:c>
      <x:c r="F6" s="32" t="n">
        <x:v>87.32732065118421</x:v>
      </x:c>
    </x:row>
    <x:row r="7">
      <x:c r="A7" s="38" t="str">
        <x:v>III</x:v>
      </x:c>
      <x:c r="B7" s="34" t="str">
        <x:v>Gorduras e óleos animais ou vegetais</x:v>
      </x:c>
      <x:c r="C7" s="32" t="n">
        <x:v>100</x:v>
      </x:c>
      <x:c r="D7" s="32" t="n">
        <x:v>87.87499267165677</x:v>
      </x:c>
      <x:c r="E7" s="32" t="n">
        <x:v>95.62376613537802</x:v>
      </x:c>
      <x:c r="F7" s="32" t="n">
        <x:v>89.87367135089286</x:v>
      </x:c>
    </x:row>
    <x:row r="8">
      <x:c r="A8" s="38" t="str">
        <x:v>IV</x:v>
      </x:c>
      <x:c r="B8" s="34" t="str">
        <x:v>Produtos alimentares, bebidas e tabaco</x:v>
      </x:c>
      <x:c r="C8" s="32" t="n">
        <x:v>100</x:v>
      </x:c>
      <x:c r="D8" s="32" t="n">
        <x:v>82.83912143251146</x:v>
      </x:c>
      <x:c r="E8" s="32" t="n">
        <x:v>84.99998951145432</x:v>
      </x:c>
      <x:c r="F8" s="32" t="n">
        <x:v>74.02950305381188</x:v>
      </x:c>
    </x:row>
    <x:row r="9">
      <x:c r="A9" s="38" t="str">
        <x:v>V</x:v>
      </x:c>
      <x:c r="B9" s="34" t="str">
        <x:v>Produtos minerais</x:v>
      </x:c>
      <x:c r="C9" s="32" t="n">
        <x:v>100</x:v>
      </x:c>
      <x:c r="D9" s="32" t="n">
        <x:v>92.83085813195208</x:v>
      </x:c>
      <x:c r="E9" s="32" t="n">
        <x:v>77.07750324601722</x:v>
      </x:c>
      <x:c r="F9" s="32" t="n">
        <x:v>76.9220277938601</x:v>
      </x:c>
    </x:row>
    <x:row r="10">
      <x:c r="A10" s="38" t="str">
        <x:v>VI</x:v>
      </x:c>
      <x:c r="B10" s="34" t="str">
        <x:v>Indústrias químicas</x:v>
      </x:c>
      <x:c r="C10" s="32" t="n">
        <x:v>100</x:v>
      </x:c>
      <x:c r="D10" s="32" t="n">
        <x:v>86.54036743394867</x:v>
      </x:c>
      <x:c r="E10" s="32" t="n">
        <x:v>83.02391596327314</x:v>
      </x:c>
      <x:c r="F10" s="32" t="n">
        <x:v>79.1702000938624</x:v>
      </x:c>
    </x:row>
    <x:row r="11">
      <x:c r="A11" s="38" t="str">
        <x:v>VII</x:v>
      </x:c>
      <x:c r="B11" s="34" t="str">
        <x:v>Plásticos e borracha</x:v>
      </x:c>
      <x:c r="C11" s="32" t="n">
        <x:v>100</x:v>
      </x:c>
      <x:c r="D11" s="32" t="n">
        <x:v>79.39439600050595</x:v>
      </x:c>
      <x:c r="E11" s="32" t="n">
        <x:v>74.51673939990114</x:v>
      </x:c>
      <x:c r="F11" s="32" t="n">
        <x:v>67.6172970823063</x:v>
      </x:c>
    </x:row>
    <x:row r="12">
      <x:c r="A12" s="38" t="str">
        <x:v>VIII</x:v>
      </x:c>
      <x:c r="B12" s="34" t="str">
        <x:v>Peles e couros</x:v>
      </x:c>
      <x:c r="C12" s="32"/>
      <x:c r="D12" s="32"/>
      <x:c r="E12" s="32"/>
      <x:c r="F12" s="32"/>
    </x:row>
    <x:row r="13">
      <x:c r="A13" s="38" t="str">
        <x:v>IX</x:v>
      </x:c>
      <x:c r="B13" s="34" t="str">
        <x:v>Madeira, cortiça e cestaria</x:v>
      </x:c>
      <x:c r="C13" s="32" t="n">
        <x:v>100</x:v>
      </x:c>
      <x:c r="D13" s="32"/>
      <x:c r="E13" s="32" t="n">
        <x:v>40.68950347842413</x:v>
      </x:c>
      <x:c r="F13" s="32" t="n">
        <x:v>45.57173826734464</x:v>
      </x:c>
    </x:row>
    <x:row r="14">
      <x:c r="A14" s="38" t="str">
        <x:v>X</x:v>
      </x:c>
      <x:c r="B14" s="34" t="str">
        <x:v>Pastas, papel e cartão</x:v>
      </x:c>
      <x:c r="C14" s="32" t="n">
        <x:v>100</x:v>
      </x:c>
      <x:c r="D14" s="32" t="n">
        <x:v>88.55878995707508</x:v>
      </x:c>
      <x:c r="E14" s="32" t="n">
        <x:v>117.97107580734954</x:v>
      </x:c>
      <x:c r="F14" s="32" t="n">
        <x:v>66.26558203994666</x:v>
      </x:c>
    </x:row>
    <x:row r="15">
      <x:c r="A15" s="38" t="str">
        <x:v>XI</x:v>
      </x:c>
      <x:c r="B15" s="34" t="str">
        <x:v>Matérias têxteis</x:v>
      </x:c>
      <x:c r="C15" s="32" t="n">
        <x:v>100.00000000000001</x:v>
      </x:c>
      <x:c r="D15" s="32" t="n">
        <x:v>109.85442196923688</x:v>
      </x:c>
      <x:c r="E15" s="32" t="n">
        <x:v>45.62396120284005</x:v>
      </x:c>
      <x:c r="F15" s="32" t="n">
        <x:v>57.228075367941656</x:v>
      </x:c>
    </x:row>
    <x:row r="16">
      <x:c r="A16" s="38" t="str">
        <x:v>XII</x:v>
      </x:c>
      <x:c r="B16" s="34" t="str">
        <x:v>Calçado e artigos semelhantes</x:v>
      </x:c>
      <x:c r="C16" s="32"/>
      <x:c r="D16" s="32"/>
      <x:c r="E16" s="32"/>
      <x:c r="F16" s="32"/>
    </x:row>
    <x:row r="17">
      <x:c r="A17" s="38" t="str">
        <x:v>XIII</x:v>
      </x:c>
      <x:c r="B17" s="34" t="str">
        <x:v>Pedra, cerâmica e vidro</x:v>
      </x:c>
      <x:c r="C17" s="32" t="n">
        <x:v>100</x:v>
      </x:c>
      <x:c r="D17" s="32" t="n">
        <x:v>113.86149240980703</x:v>
      </x:c>
      <x:c r="E17" s="32" t="n">
        <x:v>111.77258813280027</x:v>
      </x:c>
      <x:c r="F17" s="32" t="n">
        <x:v>99.74217362221086</x:v>
      </x:c>
    </x:row>
    <x:row r="18">
      <x:c r="A18" s="38" t="str">
        <x:v>XIV</x:v>
      </x:c>
      <x:c r="B18" s="34" t="str">
        <x:v>Metais e pedras preciosas</x:v>
      </x:c>
      <x:c r="C18" s="32" t="n">
        <x:v>100</x:v>
      </x:c>
      <x:c r="D18" s="32" t="n">
        <x:v>81.30175952473184</x:v>
      </x:c>
      <x:c r="E18" s="32" t="n">
        <x:v>87.93209812264338</x:v>
      </x:c>
      <x:c r="F18" s="32" t="n">
        <x:v>147.88064224994426</x:v>
      </x:c>
    </x:row>
    <x:row r="19">
      <x:c r="A19" s="38" t="str">
        <x:v>XV</x:v>
      </x:c>
      <x:c r="B19" s="34" t="str">
        <x:v>Metais comuns</x:v>
      </x:c>
      <x:c r="C19" s="32" t="n">
        <x:v>99.99999999999999</x:v>
      </x:c>
      <x:c r="D19" s="32" t="n">
        <x:v>82.45107810894675</x:v>
      </x:c>
      <x:c r="E19" s="32" t="n">
        <x:v>80.25137363057048</x:v>
      </x:c>
      <x:c r="F19" s="32" t="n">
        <x:v>64.33849309941688</x:v>
      </x:c>
    </x:row>
    <x:row r="20">
      <x:c r="A20" s="38" t="str">
        <x:v>XVI</x:v>
      </x:c>
      <x:c r="B20" s="34" t="str">
        <x:v>Máquinas e material eléctrico</x:v>
      </x:c>
      <x:c r="C20" s="32" t="n">
        <x:v>100</x:v>
      </x:c>
      <x:c r="D20" s="32" t="n">
        <x:v>85.54918533425564</x:v>
      </x:c>
      <x:c r="E20" s="32" t="n">
        <x:v>68.46381154634011</x:v>
      </x:c>
      <x:c r="F20" s="32" t="n">
        <x:v>89.9278709930038</x:v>
      </x:c>
    </x:row>
    <x:row r="21">
      <x:c r="A21" s="38" t="str">
        <x:v>XVII</x:v>
      </x:c>
      <x:c r="B21" s="34" t="str">
        <x:v>Material de transporte</x:v>
      </x:c>
      <x:c r="C21" s="32" t="n">
        <x:v>99.99999999999999</x:v>
      </x:c>
      <x:c r="D21" s="32" t="n">
        <x:v>99.5376134192004</x:v>
      </x:c>
      <x:c r="E21" s="32" t="n">
        <x:v>73.67137197223515</x:v>
      </x:c>
      <x:c r="F21" s="32" t="n">
        <x:v>24.92860771745943</x:v>
      </x:c>
    </x:row>
    <x:row r="22">
      <x:c r="A22" s="38" t="str">
        <x:v>XVIII</x:v>
      </x:c>
      <x:c r="B22" s="34" t="str">
        <x:v>Instrumentos de precisão</x:v>
      </x:c>
      <x:c r="C22" s="32" t="n">
        <x:v>100</x:v>
      </x:c>
      <x:c r="D22" s="32"/>
      <x:c r="E22" s="32"/>
      <x:c r="F22" s="32"/>
    </x:row>
    <x:row r="23">
      <x:c r="A23" s="38" t="str">
        <x:v>XIX</x:v>
      </x:c>
      <x:c r="B23" s="34" t="str">
        <x:v>Armas e munições</x:v>
      </x:c>
      <x:c r="C23" s="32"/>
      <x:c r="D23" s="32"/>
      <x:c r="E23" s="32"/>
      <x:c r="F23" s="32"/>
    </x:row>
    <x:row r="24">
      <x:c r="A24" s="38" t="str">
        <x:v>XX</x:v>
      </x:c>
      <x:c r="B24" s="34" t="str">
        <x:v>Mercadorias diversas</x:v>
      </x:c>
      <x:c r="C24" s="32" t="n">
        <x:v>100</x:v>
      </x:c>
      <x:c r="D24" s="32" t="n">
        <x:v>60.213153612887055</x:v>
      </x:c>
      <x:c r="E24" s="32" t="n">
        <x:v>101.57280255022845</x:v>
      </x:c>
      <x:c r="F24" s="32" t="n">
        <x:v>71.95602668944551</x:v>
      </x:c>
    </x:row>
    <x:row r="25">
      <x:c r="A25" s="38" t="str">
        <x:v>XXI</x:v>
      </x:c>
      <x:c r="B25" s="34" t="str">
        <x:v>Objectos de arte</x:v>
      </x:c>
      <x:c r="C25" s="32"/>
      <x:c r="D25" s="32"/>
      <x:c r="E25" s="32"/>
      <x:c r="F25" s="32"/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18" hidden="0" customWidth="1"/>
    <x:col min="4" max="4" width="52" hidden="0" customWidth="1"/>
  </x:cols>
  <x:sheetData>
    <x:row r="1" ht="34" customHeight="1">
      <x:c r="A1" s="25" t="str">
        <x:v>AUDITORIA DAS FONTES</x:v>
      </x:c>
      <x:c r="B1" s="25"/>
      <x:c r="C1" s="25"/>
      <x:c r="D1" s="25"/>
    </x:row>
    <x:row r="2" ht="25" customHeight="1">
      <x:c r="A2" s="27" t="str">
        <x:v>Regras de exclusão, cobertura e selecção dos cabazes fixos de 2022</x:v>
      </x:c>
      <x:c r="B2" s="27"/>
      <x:c r="C2" s="27"/>
      <x:c r="D2" s="27"/>
    </x:row>
    <x:row r="3">
      <x:c r="A3" s="26"/>
      <x:c r="B3" s="26"/>
      <x:c r="C3" s="26"/>
      <x:c r="D3" s="26"/>
    </x:row>
    <x:row r="4">
      <x:c r="A4" s="28" t="str">
        <x:v>Fluxo</x:v>
      </x:c>
      <x:c r="B4" s="29" t="str">
        <x:v>Indicador</x:v>
      </x:c>
      <x:c r="C4" s="29" t="str">
        <x:v>Resultado</x:v>
      </x:c>
      <x:c r="D4" s="30" t="str">
        <x:v>Interpretação</x:v>
      </x:c>
    </x:row>
    <x:row r="5">
      <x:c r="A5" s="26" t="str">
        <x:v>Exportações</x:v>
      </x:c>
      <x:c r="B5" s="26" t="str">
        <x:v>Registos recebidos</x:v>
      </x:c>
      <x:c r="C5" s="35" t="n">
        <x:v>52035</x:v>
      </x:c>
      <x:c r="D5" s="26" t="str">
        <x:v>Fonte bruta</x:v>
      </x:c>
    </x:row>
    <x:row r="6">
      <x:c r="A6" s="26" t="str">
        <x:v>Exportações</x:v>
      </x:c>
      <x:c r="B6" s="26" t="str">
        <x:v>Registos elegíveis</x:v>
      </x:c>
      <x:c r="C6" s="35" t="n">
        <x:v>20835</x:v>
      </x:c>
      <x:c r="D6" s="26" t="str">
        <x:v>Após unidades, valor, quantidade e positividade</x:v>
      </x:c>
    </x:row>
    <x:row r="7">
      <x:c r="A7" s="26" t="str">
        <x:v>Exportações</x:v>
      </x:c>
      <x:c r="B7" s="26" t="str">
        <x:v>Unidades excluídas</x:v>
      </x:c>
      <x:c r="C7" s="35" t="n">
        <x:v>10970</x:v>
      </x:c>
      <x:c r="D7" s="26" t="str">
        <x:v>Sem conversão validada para kg</x:v>
      </x:c>
    </x:row>
    <x:row r="8">
      <x:c r="A8" s="26" t="str">
        <x:v>Exportações</x:v>
      </x:c>
      <x:c r="B8" s="26" t="str">
        <x:v>Valor &lt; USD 1.000</x:v>
      </x:c>
      <x:c r="C8" s="35" t="n">
        <x:v>17483</x:v>
      </x:c>
      <x:c r="D8" s="26" t="str">
        <x:v>Abaixo do limiar</x:v>
      </x:c>
    </x:row>
    <x:row r="9">
      <x:c r="A9" s="26" t="str">
        <x:v>Exportações</x:v>
      </x:c>
      <x:c r="B9" s="26" t="str">
        <x:v>Quantidade &lt; 100 kg</x:v>
      </x:c>
      <x:c r="C9" s="35" t="n">
        <x:v>2746</x:v>
      </x:c>
      <x:c r="D9" s="26" t="str">
        <x:v>Abaixo do limiar</x:v>
      </x:c>
    </x:row>
    <x:row r="10">
      <x:c r="A10" s="26" t="str">
        <x:v>Exportações</x:v>
      </x:c>
      <x:c r="B10" s="26" t="str">
        <x:v>SH8 no cabaz 2022</x:v>
      </x:c>
      <x:c r="C10" s="35" t="n">
        <x:v>98</x:v>
      </x:c>
      <x:c r="D10" s="26" t="str">
        <x:v>Passaram os cinco testes de estabilidade</x:v>
      </x:c>
    </x:row>
    <x:row r="11">
      <x:c r="A11" s="26" t="str">
        <x:v>Importações</x:v>
      </x:c>
      <x:c r="B11" s="26" t="str">
        <x:v>Registos recebidos</x:v>
      </x:c>
      <x:c r="C11" s="35" t="n">
        <x:v>1442520</x:v>
      </x:c>
      <x:c r="D11" s="26" t="str">
        <x:v>Fonte bruta</x:v>
      </x:c>
    </x:row>
    <x:row r="12">
      <x:c r="A12" s="26" t="str">
        <x:v>Importações</x:v>
      </x:c>
      <x:c r="B12" s="26" t="str">
        <x:v>Registos elegíveis</x:v>
      </x:c>
      <x:c r="C12" s="35" t="n">
        <x:v>318029</x:v>
      </x:c>
      <x:c r="D12" s="26" t="str">
        <x:v>Após unidades, valor, quantidade e positividade</x:v>
      </x:c>
    </x:row>
    <x:row r="13">
      <x:c r="A13" s="26" t="str">
        <x:v>Importações</x:v>
      </x:c>
      <x:c r="B13" s="26" t="str">
        <x:v>Unidades excluídas</x:v>
      </x:c>
      <x:c r="C13" s="35" t="n">
        <x:v>577087</x:v>
      </x:c>
      <x:c r="D13" s="26" t="str">
        <x:v>Sem conversão validada para kg</x:v>
      </x:c>
    </x:row>
    <x:row r="14">
      <x:c r="A14" s="26" t="str">
        <x:v>Importações</x:v>
      </x:c>
      <x:c r="B14" s="26" t="str">
        <x:v>Valor &lt; USD 1.000</x:v>
      </x:c>
      <x:c r="C14" s="35" t="n">
        <x:v>448135</x:v>
      </x:c>
      <x:c r="D14" s="26" t="str">
        <x:v>Abaixo do limiar</x:v>
      </x:c>
    </x:row>
    <x:row r="15">
      <x:c r="A15" s="26" t="str">
        <x:v>Importações</x:v>
      </x:c>
      <x:c r="B15" s="26" t="str">
        <x:v>Quantidade &lt; 100 kg</x:v>
      </x:c>
      <x:c r="C15" s="35" t="n">
        <x:v>99214</x:v>
      </x:c>
      <x:c r="D15" s="26" t="str">
        <x:v>Abaixo do limiar</x:v>
      </x:c>
    </x:row>
    <x:row r="16">
      <x:c r="A16" s="26" t="str">
        <x:v>Importações</x:v>
      </x:c>
      <x:c r="B16" s="26" t="str">
        <x:v>SH8 no cabaz 2022</x:v>
      </x:c>
      <x:c r="C16" s="35" t="n">
        <x:v>300</x:v>
      </x:c>
      <x:c r="D16" s="26" t="str">
        <x:v>Passaram os cinco testes de estabilidade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9" hidden="0" customWidth="1"/>
    <x:col min="3" max="3" width="50" hidden="0" customWidth="1"/>
  </x:cols>
  <x:sheetData>
    <x:row r="1" ht="34" customHeight="1">
      <x:c r="A1" s="25" t="str">
        <x:v>METODOLOGIA DO RECÁLCULO</x:v>
      </x:c>
      <x:c r="B1" s="25"/>
      <x:c r="C1" s="25"/>
    </x:row>
    <x:row r="2" ht="25" customHeight="1">
      <x:c r="A2" s="27" t="str">
        <x:v>Regras aplicadas igualmente aos quatro níveis de periodicidade</x:v>
      </x:c>
      <x:c r="B2" s="27"/>
      <x:c r="C2" s="27"/>
    </x:row>
    <x:row r="3">
      <x:c r="A3" s="26"/>
      <x:c r="B3" s="26"/>
      <x:c r="C3" s="26"/>
    </x:row>
    <x:row r="4">
      <x:c r="A4" s="28" t="str">
        <x:v>Etapa</x:v>
      </x:c>
      <x:c r="B4" s="29" t="str">
        <x:v>Regra</x:v>
      </x:c>
      <x:c r="C4" s="30" t="str">
        <x:v>Aplicação</x:v>
      </x:c>
    </x:row>
    <x:row r="5">
      <x:c r="A5" s="40" t="str">
        <x:v>Ano-base</x:v>
      </x:c>
      <x:c r="B5" s="34" t="str">
        <x:v>2022 = 100</x:v>
      </x:c>
      <x:c r="C5" s="34" t="str">
        <x:v>Valor unitário anual de 2022 por SH8</x:v>
      </x:c>
    </x:row>
    <x:row r="6">
      <x:c r="A6" s="40" t="str">
        <x:v>Unidades</x:v>
      </x:c>
      <x:c r="B6" s="34" t="str">
        <x:v>KG, G, KGN, KK2O e KNAOH</x:v>
      </x:c>
      <x:c r="C6" s="34" t="str">
        <x:v>Conversão para kg; restantes excluídas</x:v>
      </x:c>
    </x:row>
    <x:row r="7">
      <x:c r="A7" s="40" t="str">
        <x:v>Valor</x:v>
      </x:c>
      <x:c r="B7" s="34" t="str">
        <x:v>≥ USD 1.000</x:v>
      </x:c>
      <x:c r="C7" s="34" t="str">
        <x:v>Filtro ao registo</x:v>
      </x:c>
    </x:row>
    <x:row r="8">
      <x:c r="A8" s="40" t="str">
        <x:v>Quantidade</x:v>
      </x:c>
      <x:c r="B8" s="34" t="str">
        <x:v>≥ 100 kg</x:v>
      </x:c>
      <x:c r="C8" s="34" t="str">
        <x:v>Filtro ao registo</x:v>
      </x:c>
    </x:row>
    <x:row r="9">
      <x:c r="A9" s="40" t="str">
        <x:v>Frequência</x:v>
      </x:c>
      <x:c r="B9" s="34" t="str">
        <x:v>≥ 6 meses em 2022</x:v>
      </x:c>
      <x:c r="C9" s="34" t="str">
        <x:v>Teste do cabaz</x:v>
      </x:c>
    </x:row>
    <x:row r="10">
      <x:c r="A10" s="40" t="str">
        <x:v>Amplitude</x:v>
      </x:c>
      <x:c r="B10" s="34" t="str">
        <x:v>Máx./Mín. ≤ 10</x:v>
      </x:c>
      <x:c r="C10" s="34" t="str">
        <x:v>Teste do cabaz</x:v>
      </x:c>
    </x:row>
    <x:row r="11">
      <x:c r="A11" s="40" t="str">
        <x:v>Extremo superior</x:v>
      </x:c>
      <x:c r="B11" s="34" t="str">
        <x:v>Máx./Mediana ≤ 5</x:v>
      </x:c>
      <x:c r="C11" s="34" t="str">
        <x:v>Teste do cabaz</x:v>
      </x:c>
    </x:row>
    <x:row r="12">
      <x:c r="A12" s="40" t="str">
        <x:v>Extremo inferior</x:v>
      </x:c>
      <x:c r="B12" s="34" t="str">
        <x:v>Mediana/Mín. ≤ 5</x:v>
      </x:c>
      <x:c r="C12" s="34" t="str">
        <x:v>Teste do cabaz</x:v>
      </x:c>
    </x:row>
    <x:row r="13">
      <x:c r="A13" s="40" t="str">
        <x:v>Dispersão</x:v>
      </x:c>
      <x:c r="B13" s="34" t="str">
        <x:v>CV ≤ 30%</x:v>
      </x:c>
      <x:c r="C13" s="34" t="str">
        <x:v>Teste do cabaz</x:v>
      </x:c>
    </x:row>
    <x:row r="14">
      <x:c r="A14" s="40" t="str">
        <x:v>IVU admissível</x:v>
      </x:c>
      <x:c r="B14" s="34" t="str">
        <x:v>20–300</x:v>
      </x:c>
      <x:c r="C14" s="34" t="str">
        <x:v>Filtro de extremos por período</x:v>
      </x:c>
    </x:row>
    <x:row r="15">
      <x:c r="A15" s="40" t="str">
        <x:v>Mensal</x:v>
      </x:c>
      <x:c r="B15" s="34" t="str">
        <x:v>Transacções de cada mês</x:v>
      </x:c>
      <x:c r="C15" s="34" t="str">
        <x:v>Resultado próprio</x:v>
      </x:c>
    </x:row>
    <x:row r="16">
      <x:c r="A16" s="40" t="str">
        <x:v>Trimestral</x:v>
      </x:c>
      <x:c r="B16" s="34" t="str">
        <x:v>Agregação de cada trimestre</x:v>
      </x:c>
      <x:c r="C16" s="34" t="str">
        <x:v>Resultado próprio</x:v>
      </x:c>
    </x:row>
    <x:row r="17">
      <x:c r="A17" s="40" t="str">
        <x:v>Semestral</x:v>
      </x:c>
      <x:c r="B17" s="34" t="str">
        <x:v>Agregação de cada semestre</x:v>
      </x:c>
      <x:c r="C17" s="34" t="str">
        <x:v>Resultado próprio</x:v>
      </x:c>
    </x:row>
    <x:row r="18">
      <x:c r="A18" s="40" t="str">
        <x:v>Anual</x:v>
      </x:c>
      <x:c r="B18" s="34" t="str">
        <x:v>Agregação do ano disponível</x:v>
      </x:c>
      <x:c r="C18" s="34" t="str">
        <x:v>2025 = Jan–Set</x:v>
      </x:c>
    </x:row>
    <x:row r="19">
      <x:c r="A19" s="40" t="str">
        <x:v>Global</x:v>
      </x:c>
      <x:c r="B19" s="34" t="str">
        <x:v>Pesos fixos do valor elegível de 2022</x:v>
      </x:c>
      <x:c r="C19" s="34" t="str">
        <x:v>Exp. 49,997%; Imp. 50,003%</x:v>
      </x:c>
    </x:row>
    <x:row r="20">
      <x:c r="A20" s="40" t="str">
        <x:v>Previsão 2026</x:v>
      </x:c>
      <x:c r="B20" s="34" t="str">
        <x:v>Tendência linear OLS</x:v>
      </x:c>
      <x:c r="C20" s="34" t="str">
        <x:v>Cenário central ± RMSE</x:v>
      </x:c>
    </x:row>
  </x:sheetData>
  <x:mergeCells>
    <x:mergeCell ref="A1:C1"/>
    <x:mergeCell ref="A2:C2"/>
  </x:mergeCells>
  <x:pageMargins left="0.7" right="0.7" top="0.75" bottom="0.75" header="0.3" footer="0.3"/>
</x:worksheet>
</file>